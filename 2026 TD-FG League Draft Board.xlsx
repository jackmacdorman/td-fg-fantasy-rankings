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ft Board" sheetId="1" state="visible" r:id="rId1"/>
    <sheet xmlns:r="http://schemas.openxmlformats.org/officeDocument/2006/relationships" name="QB" sheetId="2" state="visible" r:id="rId2"/>
    <sheet xmlns:r="http://schemas.openxmlformats.org/officeDocument/2006/relationships" name="RB" sheetId="3" state="visible" r:id="rId3"/>
    <sheet xmlns:r="http://schemas.openxmlformats.org/officeDocument/2006/relationships" name="WR" sheetId="4" state="visible" r:id="rId4"/>
    <sheet xmlns:r="http://schemas.openxmlformats.org/officeDocument/2006/relationships" name="TE" sheetId="5" state="visible" r:id="rId5"/>
    <sheet xmlns:r="http://schemas.openxmlformats.org/officeDocument/2006/relationships" name="K" sheetId="6" state="visible" r:id="rId6"/>
    <sheet xmlns:r="http://schemas.openxmlformats.org/officeDocument/2006/relationships" name="DEF" sheetId="7" state="visible" r:id="rId7"/>
    <sheet xmlns:r="http://schemas.openxmlformats.org/officeDocument/2006/relationships" name="Strategy" sheetId="8" state="visible" r:id="rId8"/>
    <sheet xmlns:r="http://schemas.openxmlformats.org/officeDocument/2006/relationships" name="Sleepers" sheetId="9" state="visible" r:id="rId9"/>
    <sheet xmlns:r="http://schemas.openxmlformats.org/officeDocument/2006/relationships" name="Traps" sheetId="10" state="visible" r:id="rId10"/>
    <sheet xmlns:r="http://schemas.openxmlformats.org/officeDocument/2006/relationships" name="Sources" sheetId="11" state="visible" r:id="rId11"/>
    <sheet xmlns:r="http://schemas.openxmlformats.org/officeDocument/2006/relationships" name="Settings" sheetId="12" state="visible" r:id="rId12"/>
  </sheets>
  <definedNames>
    <definedName name="_xlnm._FilterDatabase" localSheetId="0" hidden="1">'Draft Board'!$A$2:$Q$290</definedName>
    <definedName name="_xlnm._FilterDatabase" localSheetId="1" hidden="1">'QB'!$A$2:$Q$39</definedName>
    <definedName name="_xlnm._FilterDatabase" localSheetId="2" hidden="1">'RB'!$A$2:$Q$72</definedName>
    <definedName name="_xlnm._FilterDatabase" localSheetId="3" hidden="1">'WR'!$A$2:$Q$87</definedName>
    <definedName name="_xlnm._FilterDatabase" localSheetId="4" hidden="1">'TE'!$A$2:$Q$34</definedName>
    <definedName name="_xlnm._FilterDatabase" localSheetId="5" hidden="1">'K'!$A$2:$Q$34</definedName>
    <definedName name="_xlnm._FilterDatabase" localSheetId="6" hidden="1">'DEF'!$A$2:$Q$34</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3864"/>
      <sz val="14"/>
    </font>
    <font>
      <name val="Arial"/>
      <b val="1"/>
      <color rgb="00FFFFFF"/>
      <sz val="10"/>
    </font>
    <font>
      <name val="Arial"/>
      <sz val="10"/>
    </font>
    <font>
      <name val="Arial"/>
      <color rgb="000000FF"/>
      <sz val="10"/>
    </font>
    <font>
      <name val="Arial"/>
      <b val="1"/>
      <sz val="10"/>
    </font>
    <font>
      <name val="Arial"/>
      <b val="1"/>
      <sz val="11"/>
    </font>
    <font>
      <name val="Arial"/>
      <i val="1"/>
      <sz val="9"/>
    </font>
  </fonts>
  <fills count="9">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
      <patternFill patternType="solid">
        <fgColor rgb="00DDEBF7"/>
      </patternFill>
    </fill>
    <fill>
      <patternFill patternType="solid">
        <fgColor rgb="00EDEDED"/>
      </patternFill>
    </fill>
    <fill>
      <patternFill patternType="solid">
        <fgColor rgb="00FFF2CC"/>
      </patternFill>
    </fill>
    <fill>
      <patternFill patternType="solid">
        <fgColor rgb="00E4DFEC"/>
      </patternFill>
    </fill>
  </fills>
  <borders count="2">
    <border>
      <left/>
      <right/>
      <top/>
      <bottom/>
      <diagonal/>
    </border>
    <border>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0" borderId="1" pivotButton="0" quotePrefix="0" xfId="0"/>
    <xf numFmtId="0" fontId="4" fillId="0" borderId="1" applyAlignment="1" pivotButton="0" quotePrefix="0" xfId="0">
      <alignment horizontal="center"/>
    </xf>
    <xf numFmtId="164" fontId="5" fillId="0" borderId="1" applyAlignment="1" pivotButton="0" quotePrefix="0" xfId="0">
      <alignment horizontal="center"/>
    </xf>
    <xf numFmtId="164" fontId="3" fillId="0" borderId="1" applyAlignment="1" pivotButton="0" quotePrefix="0" xfId="0">
      <alignment horizontal="center"/>
    </xf>
    <xf numFmtId="0" fontId="3" fillId="4" borderId="1" applyAlignment="1" pivotButton="0" quotePrefix="0" xfId="0">
      <alignment horizontal="center"/>
    </xf>
    <xf numFmtId="0" fontId="3" fillId="5" borderId="1" applyAlignment="1" pivotButton="0" quotePrefix="0" xfId="0">
      <alignment horizontal="center"/>
    </xf>
    <xf numFmtId="0" fontId="3" fillId="6" borderId="1" applyAlignment="1" pivotButton="0" quotePrefix="0" xfId="0">
      <alignment horizontal="center"/>
    </xf>
    <xf numFmtId="0" fontId="3" fillId="7" borderId="1" applyAlignment="1" pivotButton="0" quotePrefix="0" xfId="0">
      <alignment horizontal="center"/>
    </xf>
    <xf numFmtId="0" fontId="3" fillId="8" borderId="1" applyAlignment="1" pivotButton="0" quotePrefix="0" xfId="0">
      <alignment horizontal="center"/>
    </xf>
    <xf numFmtId="0" fontId="3" fillId="0" borderId="1" applyAlignment="1" pivotButton="0" quotePrefix="0" xfId="0">
      <alignment vertical="top"/>
    </xf>
    <xf numFmtId="0" fontId="3" fillId="0" borderId="1" applyAlignment="1" pivotButton="0" quotePrefix="0" xfId="0">
      <alignment vertical="top" wrapText="1"/>
    </xf>
    <xf numFmtId="0" fontId="6" fillId="0" borderId="0" pivotButton="0" quotePrefix="0" xfId="0"/>
    <xf numFmtId="0" fontId="2" fillId="2" borderId="0" applyAlignment="1" pivotButton="0" quotePrefix="0" xfId="0">
      <alignment horizontal="center" wrapText="1"/>
    </xf>
    <xf numFmtId="0" fontId="3" fillId="0" borderId="0" pivotButton="0" quotePrefix="0" xfId="0"/>
    <xf numFmtId="0" fontId="4" fillId="0" borderId="0" applyAlignment="1" pivotButton="0" quotePrefix="0" xfId="0">
      <alignment horizontal="center"/>
    </xf>
    <xf numFmtId="0" fontId="3" fillId="0" borderId="0" applyAlignment="1" pivotButton="0" quotePrefix="0" xfId="0">
      <alignment horizontal="center"/>
    </xf>
    <xf numFmtId="164" fontId="4" fillId="0" borderId="0" applyAlignment="1" pivotButton="0" quotePrefix="0" xfId="0">
      <alignment horizontal="center"/>
    </xf>
    <xf numFmtId="2" fontId="4" fillId="0" borderId="0" applyAlignment="1" pivotButton="0" quotePrefix="0" xfId="0">
      <alignment horizont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5" customWidth="1" min="4" max="4"/>
    <col width="5" customWidth="1" min="5" max="5"/>
    <col width="8" customWidth="1" min="6" max="6"/>
    <col width="8" customWidth="1" min="7" max="7"/>
    <col width="8" customWidth="1" min="8" max="8"/>
    <col width="6" customWidth="1" min="9" max="9"/>
    <col width="6" customWidth="1" min="10" max="10"/>
    <col width="7" customWidth="1" min="11" max="11"/>
    <col width="6" customWidth="1" min="12" max="12"/>
    <col width="9" customWidth="1" min="13" max="13"/>
    <col width="8" customWidth="1" min="14" max="14"/>
    <col width="9" customWidth="1" min="15" max="15"/>
    <col width="8" customWidth="1" min="16" max="16"/>
    <col width="62" customWidth="1" min="17" max="17"/>
  </cols>
  <sheetData>
    <row r="1" ht="20" customHeight="1">
      <c r="A1" s="1" t="inlineStr">
        <is>
          <t>2026 TD/FG-Only Draft Board — ranked by Adjusted VOR</t>
        </is>
      </c>
    </row>
    <row r="2" ht="26" customHeight="1">
      <c r="A2" s="2" t="inlineStr">
        <is>
          <t>Rank</t>
        </is>
      </c>
      <c r="B2" s="2" t="inlineStr">
        <is>
          <t>Pos</t>
        </is>
      </c>
      <c r="C2" s="2" t="inlineStr">
        <is>
          <t>Player</t>
        </is>
      </c>
      <c r="D2" s="2" t="inlineStr">
        <is>
          <t>Tm</t>
        </is>
      </c>
      <c r="E2" s="2" t="inlineStr">
        <is>
          <t>P</t>
        </is>
      </c>
      <c r="F2" s="2" t="inlineStr">
        <is>
          <t>PassTD</t>
        </is>
      </c>
      <c r="G2" s="2" t="inlineStr">
        <is>
          <t>RushTD</t>
        </is>
      </c>
      <c r="H2" s="2" t="inlineStr">
        <is>
          <t>RecTD</t>
        </is>
      </c>
      <c r="I2" s="2" t="inlineStr">
        <is>
          <t>FG</t>
        </is>
      </c>
      <c r="J2" s="2" t="inlineStr">
        <is>
          <t>PAT</t>
        </is>
      </c>
      <c r="K2" s="2" t="inlineStr">
        <is>
          <t>DefTD</t>
        </is>
      </c>
      <c r="L2" s="2" t="inlineStr">
        <is>
          <t>Saf</t>
        </is>
      </c>
      <c r="M2" s="2" t="inlineStr">
        <is>
          <t>Points</t>
        </is>
      </c>
      <c r="N2" s="2" t="inlineStr">
        <is>
          <t>VOR</t>
        </is>
      </c>
      <c r="O2" s="2" t="inlineStr">
        <is>
          <t>Adj VOR</t>
        </is>
      </c>
      <c r="P2" s="2" t="inlineStr">
        <is>
          <t>Conf</t>
        </is>
      </c>
      <c r="Q2" s="2" t="inlineStr">
        <is>
          <t>Notes</t>
        </is>
      </c>
    </row>
    <row r="3">
      <c r="A3" s="3" t="n">
        <v>1</v>
      </c>
      <c r="B3" s="4" t="inlineStr">
        <is>
          <t>QB1</t>
        </is>
      </c>
      <c r="C3" s="5" t="inlineStr">
        <is>
          <t>Josh Allen</t>
        </is>
      </c>
      <c r="D3" s="3" t="inlineStr">
        <is>
          <t>BUF</t>
        </is>
      </c>
      <c r="E3" s="4" t="inlineStr">
        <is>
          <t>QB</t>
        </is>
      </c>
      <c r="F3" s="6" t="n">
        <v>27</v>
      </c>
      <c r="G3" s="6" t="n">
        <v>12</v>
      </c>
      <c r="H3" s="6" t="n"/>
      <c r="I3" s="6" t="n"/>
      <c r="J3" s="6" t="n"/>
      <c r="K3" s="6" t="n"/>
      <c r="L3" s="6" t="n"/>
      <c r="M3" s="7">
        <f>F3*Settings!$B$4+G3*Settings!$B$5+H3*Settings!$B$6+I3*Settings!$B$7+J3*Settings!$B$8+K3*Settings!$B$9+L3*Settings!$B$10</f>
        <v/>
      </c>
      <c r="N3" s="8">
        <f>M3-INDEX(Settings!$G$4:$G$9,MATCH($E3,Settings!$F$4:$F$9,0))</f>
        <v/>
      </c>
      <c r="O3" s="7">
        <f>N3*INDEX(Settings!$H$4:$H$9,MATCH($E3,Settings!$F$4:$F$9,0))</f>
        <v/>
      </c>
      <c r="P3" s="3" t="inlineStr">
        <is>
          <t>HIGH</t>
        </is>
      </c>
      <c r="Q3" s="5" t="inlineStr">
        <is>
          <t>TIER OF ONE. 12 rush TDs alone outscore 20 of 40 QBs in total</t>
        </is>
      </c>
    </row>
    <row r="4">
      <c r="A4" s="3" t="n">
        <v>2</v>
      </c>
      <c r="B4" s="9" t="inlineStr">
        <is>
          <t>RB1</t>
        </is>
      </c>
      <c r="C4" s="5" t="inlineStr">
        <is>
          <t>Jahmyr Gibbs</t>
        </is>
      </c>
      <c r="D4" s="3" t="inlineStr">
        <is>
          <t>DET</t>
        </is>
      </c>
      <c r="E4" s="9" t="inlineStr">
        <is>
          <t>RB</t>
        </is>
      </c>
      <c r="F4" s="6" t="n"/>
      <c r="G4" s="6" t="n">
        <v>13.4</v>
      </c>
      <c r="H4" s="6" t="n">
        <v>3.8</v>
      </c>
      <c r="I4" s="6" t="n"/>
      <c r="J4" s="6" t="n"/>
      <c r="K4" s="6" t="n"/>
      <c r="L4" s="6" t="n"/>
      <c r="M4" s="7">
        <f>F4*Settings!$B$4+G4*Settings!$B$5+H4*Settings!$B$6+I4*Settings!$B$7+J4*Settings!$B$8+K4*Settings!$B$9+L4*Settings!$B$10</f>
        <v/>
      </c>
      <c r="N4" s="8">
        <f>M4-INDEX(Settings!$G$4:$G$9,MATCH($E4,Settings!$F$4:$F$9,0))</f>
        <v/>
      </c>
      <c r="O4" s="7">
        <f>N4*INDEX(Settings!$H$4:$H$9,MATCH($E4,Settings!$F$4:$F$9,0))</f>
        <v/>
      </c>
      <c r="P4" s="3" t="inlineStr">
        <is>
          <t>HIGH</t>
        </is>
      </c>
      <c r="Q4" s="5" t="inlineStr">
        <is>
          <t>Overall RB1</t>
        </is>
      </c>
    </row>
    <row r="5">
      <c r="A5" s="3" t="n">
        <v>3</v>
      </c>
      <c r="B5" s="9" t="inlineStr">
        <is>
          <t>RB2</t>
        </is>
      </c>
      <c r="C5" s="5" t="inlineStr">
        <is>
          <t>Jonathan Taylor</t>
        </is>
      </c>
      <c r="D5" s="3" t="inlineStr">
        <is>
          <t>IND</t>
        </is>
      </c>
      <c r="E5" s="9" t="inlineStr">
        <is>
          <t>RB</t>
        </is>
      </c>
      <c r="F5" s="6" t="n"/>
      <c r="G5" s="6" t="n">
        <v>12.2</v>
      </c>
      <c r="H5" s="6" t="n">
        <v>1.3</v>
      </c>
      <c r="I5" s="6" t="n"/>
      <c r="J5" s="6" t="n"/>
      <c r="K5" s="6" t="n"/>
      <c r="L5" s="6" t="n"/>
      <c r="M5" s="7">
        <f>F5*Settings!$B$4+G5*Settings!$B$5+H5*Settings!$B$6+I5*Settings!$B$7+J5*Settings!$B$8+K5*Settings!$B$9+L5*Settings!$B$10</f>
        <v/>
      </c>
      <c r="N5" s="8">
        <f>M5-INDEX(Settings!$G$4:$G$9,MATCH($E5,Settings!$F$4:$F$9,0))</f>
        <v/>
      </c>
      <c r="O5" s="7">
        <f>N5*INDEX(Settings!$H$4:$H$9,MATCH($E5,Settings!$F$4:$F$9,0))</f>
        <v/>
      </c>
      <c r="P5" s="3" t="inlineStr">
        <is>
          <t>HIGH</t>
        </is>
      </c>
      <c r="Q5" s="5" t="inlineStr">
        <is>
          <t>True goal-line back</t>
        </is>
      </c>
    </row>
    <row r="6">
      <c r="A6" s="3" t="n">
        <v>4</v>
      </c>
      <c r="B6" s="9" t="inlineStr">
        <is>
          <t>RB3</t>
        </is>
      </c>
      <c r="C6" s="5" t="inlineStr">
        <is>
          <t>Christian McCaffrey</t>
        </is>
      </c>
      <c r="D6" s="3" t="inlineStr">
        <is>
          <t>SF</t>
        </is>
      </c>
      <c r="E6" s="9" t="inlineStr">
        <is>
          <t>RB</t>
        </is>
      </c>
      <c r="F6" s="6" t="n"/>
      <c r="G6" s="6" t="n">
        <v>9</v>
      </c>
      <c r="H6" s="6" t="n">
        <v>4.4</v>
      </c>
      <c r="I6" s="6" t="n"/>
      <c r="J6" s="6" t="n"/>
      <c r="K6" s="6" t="n"/>
      <c r="L6" s="6" t="n"/>
      <c r="M6" s="7">
        <f>F6*Settings!$B$4+G6*Settings!$B$5+H6*Settings!$B$6+I6*Settings!$B$7+J6*Settings!$B$8+K6*Settings!$B$9+L6*Settings!$B$10</f>
        <v/>
      </c>
      <c r="N6" s="8">
        <f>M6-INDEX(Settings!$G$4:$G$9,MATCH($E6,Settings!$F$4:$F$9,0))</f>
        <v/>
      </c>
      <c r="O6" s="7">
        <f>N6*INDEX(Settings!$H$4:$H$9,MATCH($E6,Settings!$F$4:$F$9,0))</f>
        <v/>
      </c>
      <c r="P6" s="3" t="inlineStr">
        <is>
          <t>HIGH</t>
        </is>
      </c>
      <c r="Q6" s="5" t="inlineStr">
        <is>
          <t>Goal-line yes</t>
        </is>
      </c>
    </row>
    <row r="7">
      <c r="A7" s="3" t="n">
        <v>5</v>
      </c>
      <c r="B7" s="9" t="inlineStr">
        <is>
          <t>RB4</t>
        </is>
      </c>
      <c r="C7" s="5" t="inlineStr">
        <is>
          <t>Derrick Henry</t>
        </is>
      </c>
      <c r="D7" s="3" t="inlineStr">
        <is>
          <t>BAL</t>
        </is>
      </c>
      <c r="E7" s="9" t="inlineStr">
        <is>
          <t>RB</t>
        </is>
      </c>
      <c r="F7" s="6" t="n"/>
      <c r="G7" s="6" t="n">
        <v>12.8</v>
      </c>
      <c r="H7" s="6" t="n">
        <v>0.6</v>
      </c>
      <c r="I7" s="6" t="n"/>
      <c r="J7" s="6" t="n"/>
      <c r="K7" s="6" t="n"/>
      <c r="L7" s="6" t="n"/>
      <c r="M7" s="7">
        <f>F7*Settings!$B$4+G7*Settings!$B$5+H7*Settings!$B$6+I7*Settings!$B$7+J7*Settings!$B$8+K7*Settings!$B$9+L7*Settings!$B$10</f>
        <v/>
      </c>
      <c r="N7" s="8">
        <f>M7-INDEX(Settings!$G$4:$G$9,MATCH($E7,Settings!$F$4:$F$9,0))</f>
        <v/>
      </c>
      <c r="O7" s="7">
        <f>N7*INDEX(Settings!$H$4:$H$9,MATCH($E7,Settings!$F$4:$F$9,0))</f>
        <v/>
      </c>
      <c r="P7" s="3" t="inlineStr">
        <is>
          <t>HIGH</t>
        </is>
      </c>
      <c r="Q7" s="5" t="inlineStr">
        <is>
          <t>Vegas HIGHER than consensus here</t>
        </is>
      </c>
    </row>
    <row r="8">
      <c r="A8" s="3" t="n">
        <v>6</v>
      </c>
      <c r="B8" s="4" t="inlineStr">
        <is>
          <t>QB2</t>
        </is>
      </c>
      <c r="C8" s="5" t="inlineStr">
        <is>
          <t>Jalen Hurts</t>
        </is>
      </c>
      <c r="D8" s="3" t="inlineStr">
        <is>
          <t>PHI</t>
        </is>
      </c>
      <c r="E8" s="4" t="inlineStr">
        <is>
          <t>QB</t>
        </is>
      </c>
      <c r="F8" s="6" t="n">
        <v>24</v>
      </c>
      <c r="G8" s="6" t="n">
        <v>8.5</v>
      </c>
      <c r="H8" s="6" t="n"/>
      <c r="I8" s="6" t="n"/>
      <c r="J8" s="6" t="n"/>
      <c r="K8" s="6" t="n"/>
      <c r="L8" s="6" t="n"/>
      <c r="M8" s="7">
        <f>F8*Settings!$B$4+G8*Settings!$B$5+H8*Settings!$B$6+I8*Settings!$B$7+J8*Settings!$B$8+K8*Settings!$B$9+L8*Settings!$B$10</f>
        <v/>
      </c>
      <c r="N8" s="8">
        <f>M8-INDEX(Settings!$G$4:$G$9,MATCH($E8,Settings!$F$4:$F$9,0))</f>
        <v/>
      </c>
      <c r="O8" s="7">
        <f>N8*INDEX(Settings!$H$4:$H$9,MATCH($E8,Settings!$F$4:$F$9,0))</f>
        <v/>
      </c>
      <c r="P8" s="3" t="inlineStr">
        <is>
          <t>HIGH</t>
        </is>
      </c>
      <c r="Q8" s="5" t="inlineStr">
        <is>
          <t>Tush push survived 2026 rules vote; goal-line sneak intact</t>
        </is>
      </c>
    </row>
    <row r="9">
      <c r="A9" s="3" t="n">
        <v>7</v>
      </c>
      <c r="B9" s="9" t="inlineStr">
        <is>
          <t>RB5</t>
        </is>
      </c>
      <c r="C9" s="5" t="inlineStr">
        <is>
          <t>James Cook III</t>
        </is>
      </c>
      <c r="D9" s="3" t="inlineStr">
        <is>
          <t>BUF</t>
        </is>
      </c>
      <c r="E9" s="9" t="inlineStr">
        <is>
          <t>RB</t>
        </is>
      </c>
      <c r="F9" s="6" t="n"/>
      <c r="G9" s="6" t="n">
        <v>10.8</v>
      </c>
      <c r="H9" s="6" t="n">
        <v>1.8</v>
      </c>
      <c r="I9" s="6" t="n"/>
      <c r="J9" s="6" t="n"/>
      <c r="K9" s="6" t="n"/>
      <c r="L9" s="6" t="n"/>
      <c r="M9" s="7">
        <f>F9*Settings!$B$4+G9*Settings!$B$5+H9*Settings!$B$6+I9*Settings!$B$7+J9*Settings!$B$8+K9*Settings!$B$9+L9*Settings!$B$10</f>
        <v/>
      </c>
      <c r="N9" s="8">
        <f>M9-INDEX(Settings!$G$4:$G$9,MATCH($E9,Settings!$F$4:$F$9,0))</f>
        <v/>
      </c>
      <c r="O9" s="7">
        <f>N9*INDEX(Settings!$H$4:$H$9,MATCH($E9,Settings!$F$4:$F$9,0))</f>
        <v/>
      </c>
      <c r="P9" s="3" t="inlineStr">
        <is>
          <t>HIGH</t>
        </is>
      </c>
      <c r="Q9" s="5" t="inlineStr">
        <is>
          <t>Allen vulture tax already priced into line</t>
        </is>
      </c>
    </row>
    <row r="10">
      <c r="A10" s="3" t="n">
        <v>8</v>
      </c>
      <c r="B10" s="9" t="inlineStr">
        <is>
          <t>RB6</t>
        </is>
      </c>
      <c r="C10" s="5" t="inlineStr">
        <is>
          <t>Josh Jacobs</t>
        </is>
      </c>
      <c r="D10" s="3" t="inlineStr">
        <is>
          <t>GB</t>
        </is>
      </c>
      <c r="E10" s="9" t="inlineStr">
        <is>
          <t>RB</t>
        </is>
      </c>
      <c r="F10" s="6" t="n"/>
      <c r="G10" s="6" t="n">
        <v>11.3</v>
      </c>
      <c r="H10" s="6" t="n">
        <v>1.3</v>
      </c>
      <c r="I10" s="6" t="n"/>
      <c r="J10" s="6" t="n"/>
      <c r="K10" s="6" t="n"/>
      <c r="L10" s="6" t="n"/>
      <c r="M10" s="7">
        <f>F10*Settings!$B$4+G10*Settings!$B$5+H10*Settings!$B$6+I10*Settings!$B$7+J10*Settings!$B$8+K10*Settings!$B$9+L10*Settings!$B$10</f>
        <v/>
      </c>
      <c r="N10" s="8">
        <f>M10-INDEX(Settings!$G$4:$G$9,MATCH($E10,Settings!$F$4:$F$9,0))</f>
        <v/>
      </c>
      <c r="O10" s="7">
        <f>N10*INDEX(Settings!$H$4:$H$9,MATCH($E10,Settings!$F$4:$F$9,0))</f>
        <v/>
      </c>
      <c r="P10" s="3" t="inlineStr">
        <is>
          <t>HIGH</t>
        </is>
      </c>
      <c r="Q10" s="5" t="inlineStr">
        <is>
          <t>Goal-line yes</t>
        </is>
      </c>
    </row>
    <row r="11">
      <c r="A11" s="3" t="n">
        <v>9</v>
      </c>
      <c r="B11" s="10" t="inlineStr">
        <is>
          <t>WR1</t>
        </is>
      </c>
      <c r="C11" s="5" t="inlineStr">
        <is>
          <t>Ja'Marr Chase</t>
        </is>
      </c>
      <c r="D11" s="3" t="inlineStr">
        <is>
          <t>CIN</t>
        </is>
      </c>
      <c r="E11" s="10" t="inlineStr">
        <is>
          <t>WR</t>
        </is>
      </c>
      <c r="F11" s="6" t="n"/>
      <c r="G11" s="6" t="n">
        <v>0.1</v>
      </c>
      <c r="H11" s="6" t="n">
        <v>10.9</v>
      </c>
      <c r="I11" s="6" t="n"/>
      <c r="J11" s="6" t="n"/>
      <c r="K11" s="6" t="n"/>
      <c r="L11" s="6" t="n"/>
      <c r="M11" s="7">
        <f>F11*Settings!$B$4+G11*Settings!$B$5+H11*Settings!$B$6+I11*Settings!$B$7+J11*Settings!$B$8+K11*Settings!$B$9+L11*Settings!$B$10</f>
        <v/>
      </c>
      <c r="N11" s="8">
        <f>M11-INDEX(Settings!$G$4:$G$9,MATCH($E11,Settings!$F$4:$F$9,0))</f>
        <v/>
      </c>
      <c r="O11" s="7">
        <f>N11*INDEX(Settings!$H$4:$H$9,MATCH($E11,Settings!$F$4:$F$9,0))</f>
        <v/>
      </c>
      <c r="P11" s="3" t="inlineStr">
        <is>
          <t>HIGH</t>
        </is>
      </c>
      <c r="Q11" s="5" t="inlineStr"/>
    </row>
    <row r="12">
      <c r="A12" s="3" t="n">
        <v>10</v>
      </c>
      <c r="B12" s="9" t="inlineStr">
        <is>
          <t>RB7</t>
        </is>
      </c>
      <c r="C12" s="5" t="inlineStr">
        <is>
          <t>Bijan Robinson</t>
        </is>
      </c>
      <c r="D12" s="3" t="inlineStr">
        <is>
          <t>ATL</t>
        </is>
      </c>
      <c r="E12" s="9" t="inlineStr">
        <is>
          <t>RB</t>
        </is>
      </c>
      <c r="F12" s="6" t="n"/>
      <c r="G12" s="6" t="n">
        <v>8.699999999999999</v>
      </c>
      <c r="H12" s="6" t="n">
        <v>3.3</v>
      </c>
      <c r="I12" s="6" t="n"/>
      <c r="J12" s="6" t="n"/>
      <c r="K12" s="6" t="n"/>
      <c r="L12" s="6" t="n"/>
      <c r="M12" s="7">
        <f>F12*Settings!$B$4+G12*Settings!$B$5+H12*Settings!$B$6+I12*Settings!$B$7+J12*Settings!$B$8+K12*Settings!$B$9+L12*Settings!$B$10</f>
        <v/>
      </c>
      <c r="N12" s="8">
        <f>M12-INDEX(Settings!$G$4:$G$9,MATCH($E12,Settings!$F$4:$F$9,0))</f>
        <v/>
      </c>
      <c r="O12" s="7">
        <f>N12*INDEX(Settings!$H$4:$H$9,MATCH($E12,Settings!$F$4:$F$9,0))</f>
        <v/>
      </c>
      <c r="P12" s="3" t="inlineStr">
        <is>
          <t>HIGH</t>
        </is>
      </c>
      <c r="Q12" s="5" t="inlineStr">
        <is>
          <t>CAUTION only 48 pct of inside-5 carries in 2025</t>
        </is>
      </c>
    </row>
    <row r="13">
      <c r="A13" s="3" t="n">
        <v>11</v>
      </c>
      <c r="B13" s="9" t="inlineStr">
        <is>
          <t>RB8</t>
        </is>
      </c>
      <c r="C13" s="5" t="inlineStr">
        <is>
          <t>Kyren Williams</t>
        </is>
      </c>
      <c r="D13" s="3" t="inlineStr">
        <is>
          <t>LAR</t>
        </is>
      </c>
      <c r="E13" s="9" t="inlineStr">
        <is>
          <t>RB</t>
        </is>
      </c>
      <c r="F13" s="6" t="n"/>
      <c r="G13" s="6" t="n">
        <v>10.1</v>
      </c>
      <c r="H13" s="6" t="n">
        <v>1.8</v>
      </c>
      <c r="I13" s="6" t="n"/>
      <c r="J13" s="6" t="n"/>
      <c r="K13" s="6" t="n"/>
      <c r="L13" s="6" t="n"/>
      <c r="M13" s="7">
        <f>F13*Settings!$B$4+G13*Settings!$B$5+H13*Settings!$B$6+I13*Settings!$B$7+J13*Settings!$B$8+K13*Settings!$B$9+L13*Settings!$B$10</f>
        <v/>
      </c>
      <c r="N13" s="8">
        <f>M13-INDEX(Settings!$G$4:$G$9,MATCH($E13,Settings!$F$4:$F$9,0))</f>
        <v/>
      </c>
      <c r="O13" s="7">
        <f>N13*INDEX(Settings!$H$4:$H$9,MATCH($E13,Settings!$F$4:$F$9,0))</f>
        <v/>
      </c>
      <c r="P13" s="3" t="inlineStr">
        <is>
          <t>HIGH</t>
        </is>
      </c>
      <c r="Q13" s="5" t="inlineStr">
        <is>
          <t>Alternates drives with Corum</t>
        </is>
      </c>
    </row>
    <row r="14">
      <c r="A14" s="3" t="n">
        <v>12</v>
      </c>
      <c r="B14" s="9" t="inlineStr">
        <is>
          <t>RB9</t>
        </is>
      </c>
      <c r="C14" s="5" t="inlineStr">
        <is>
          <t>Javonte Williams</t>
        </is>
      </c>
      <c r="D14" s="3" t="inlineStr">
        <is>
          <t>DAL</t>
        </is>
      </c>
      <c r="E14" s="9" t="inlineStr">
        <is>
          <t>RB</t>
        </is>
      </c>
      <c r="F14" s="6" t="n"/>
      <c r="G14" s="6" t="n">
        <v>10.6</v>
      </c>
      <c r="H14" s="6" t="n">
        <v>1.2</v>
      </c>
      <c r="I14" s="6" t="n"/>
      <c r="J14" s="6" t="n"/>
      <c r="K14" s="6" t="n"/>
      <c r="L14" s="6" t="n"/>
      <c r="M14" s="7">
        <f>F14*Settings!$B$4+G14*Settings!$B$5+H14*Settings!$B$6+I14*Settings!$B$7+J14*Settings!$B$8+K14*Settings!$B$9+L14*Settings!$B$10</f>
        <v/>
      </c>
      <c r="N14" s="8">
        <f>M14-INDEX(Settings!$G$4:$G$9,MATCH($E14,Settings!$F$4:$F$9,0))</f>
        <v/>
      </c>
      <c r="O14" s="7">
        <f>N14*INDEX(Settings!$H$4:$H$9,MATCH($E14,Settings!$F$4:$F$9,0))</f>
        <v/>
      </c>
      <c r="P14" s="3" t="inlineStr">
        <is>
          <t>HIGH</t>
        </is>
      </c>
      <c r="Q14" s="5" t="inlineStr">
        <is>
          <t>Goal-line yes</t>
        </is>
      </c>
    </row>
    <row r="15">
      <c r="A15" s="3" t="n">
        <v>13</v>
      </c>
      <c r="B15" s="10" t="inlineStr">
        <is>
          <t>WR2</t>
        </is>
      </c>
      <c r="C15" s="5" t="inlineStr">
        <is>
          <t>Davante Adams</t>
        </is>
      </c>
      <c r="D15" s="3" t="inlineStr">
        <is>
          <t>LAR</t>
        </is>
      </c>
      <c r="E15" s="10" t="inlineStr">
        <is>
          <t>WR</t>
        </is>
      </c>
      <c r="F15" s="6" t="n"/>
      <c r="G15" s="6" t="n"/>
      <c r="H15" s="6" t="n">
        <v>10.3</v>
      </c>
      <c r="I15" s="6" t="n"/>
      <c r="J15" s="6" t="n"/>
      <c r="K15" s="6" t="n"/>
      <c r="L15" s="6" t="n"/>
      <c r="M15" s="7">
        <f>F15*Settings!$B$4+G15*Settings!$B$5+H15*Settings!$B$6+I15*Settings!$B$7+J15*Settings!$B$8+K15*Settings!$B$9+L15*Settings!$B$10</f>
        <v/>
      </c>
      <c r="N15" s="8">
        <f>M15-INDEX(Settings!$G$4:$G$9,MATCH($E15,Settings!$F$4:$F$9,0))</f>
        <v/>
      </c>
      <c r="O15" s="7">
        <f>N15*INDEX(Settings!$H$4:$H$9,MATCH($E15,Settings!$F$4:$F$9,0))</f>
        <v/>
      </c>
      <c r="P15" s="3" t="inlineStr">
        <is>
          <t>HIGH</t>
        </is>
      </c>
      <c r="Q15" s="5" t="inlineStr"/>
    </row>
    <row r="16">
      <c r="A16" s="3" t="n">
        <v>14</v>
      </c>
      <c r="B16" s="10" t="inlineStr">
        <is>
          <t>WR3</t>
        </is>
      </c>
      <c r="C16" s="5" t="inlineStr">
        <is>
          <t>Amon-Ra St. Brown</t>
        </is>
      </c>
      <c r="D16" s="3" t="inlineStr">
        <is>
          <t>DET</t>
        </is>
      </c>
      <c r="E16" s="10" t="inlineStr">
        <is>
          <t>WR</t>
        </is>
      </c>
      <c r="F16" s="6" t="n"/>
      <c r="G16" s="6" t="n">
        <v>0.1</v>
      </c>
      <c r="H16" s="6" t="n">
        <v>10.2</v>
      </c>
      <c r="I16" s="6" t="n"/>
      <c r="J16" s="6" t="n"/>
      <c r="K16" s="6" t="n"/>
      <c r="L16" s="6" t="n"/>
      <c r="M16" s="7">
        <f>F16*Settings!$B$4+G16*Settings!$B$5+H16*Settings!$B$6+I16*Settings!$B$7+J16*Settings!$B$8+K16*Settings!$B$9+L16*Settings!$B$10</f>
        <v/>
      </c>
      <c r="N16" s="8">
        <f>M16-INDEX(Settings!$G$4:$G$9,MATCH($E16,Settings!$F$4:$F$9,0))</f>
        <v/>
      </c>
      <c r="O16" s="7">
        <f>N16*INDEX(Settings!$H$4:$H$9,MATCH($E16,Settings!$F$4:$F$9,0))</f>
        <v/>
      </c>
      <c r="P16" s="3" t="inlineStr">
        <is>
          <t>HIGH</t>
        </is>
      </c>
      <c r="Q16" s="5" t="inlineStr"/>
    </row>
    <row r="17">
      <c r="A17" s="3" t="n">
        <v>15</v>
      </c>
      <c r="B17" s="10" t="inlineStr">
        <is>
          <t>WR4</t>
        </is>
      </c>
      <c r="C17" s="5" t="inlineStr">
        <is>
          <t>Puka Nacua</t>
        </is>
      </c>
      <c r="D17" s="3" t="inlineStr">
        <is>
          <t>LAR</t>
        </is>
      </c>
      <c r="E17" s="10" t="inlineStr">
        <is>
          <t>WR</t>
        </is>
      </c>
      <c r="F17" s="6" t="n"/>
      <c r="G17" s="6" t="n">
        <v>0.6</v>
      </c>
      <c r="H17" s="6" t="n">
        <v>9.300000000000001</v>
      </c>
      <c r="I17" s="6" t="n"/>
      <c r="J17" s="6" t="n"/>
      <c r="K17" s="6" t="n"/>
      <c r="L17" s="6" t="n"/>
      <c r="M17" s="7">
        <f>F17*Settings!$B$4+G17*Settings!$B$5+H17*Settings!$B$6+I17*Settings!$B$7+J17*Settings!$B$8+K17*Settings!$B$9+L17*Settings!$B$10</f>
        <v/>
      </c>
      <c r="N17" s="8">
        <f>M17-INDEX(Settings!$G$4:$G$9,MATCH($E17,Settings!$F$4:$F$9,0))</f>
        <v/>
      </c>
      <c r="O17" s="7">
        <f>N17*INDEX(Settings!$H$4:$H$9,MATCH($E17,Settings!$F$4:$F$9,0))</f>
        <v/>
      </c>
      <c r="P17" s="3" t="inlineStr">
        <is>
          <t>HIGH</t>
        </is>
      </c>
      <c r="Q17" s="5" t="inlineStr"/>
    </row>
    <row r="18">
      <c r="A18" s="3" t="n">
        <v>16</v>
      </c>
      <c r="B18" s="9" t="inlineStr">
        <is>
          <t>RB10</t>
        </is>
      </c>
      <c r="C18" s="5" t="inlineStr">
        <is>
          <t>Omarion Hampton</t>
        </is>
      </c>
      <c r="D18" s="3" t="inlineStr">
        <is>
          <t>LAC</t>
        </is>
      </c>
      <c r="E18" s="9" t="inlineStr">
        <is>
          <t>RB</t>
        </is>
      </c>
      <c r="F18" s="6" t="n"/>
      <c r="G18" s="6" t="n">
        <v>9.199999999999999</v>
      </c>
      <c r="H18" s="6" t="n">
        <v>1.9</v>
      </c>
      <c r="I18" s="6" t="n"/>
      <c r="J18" s="6" t="n"/>
      <c r="K18" s="6" t="n"/>
      <c r="L18" s="6" t="n"/>
      <c r="M18" s="7">
        <f>F18*Settings!$B$4+G18*Settings!$B$5+H18*Settings!$B$6+I18*Settings!$B$7+J18*Settings!$B$8+K18*Settings!$B$9+L18*Settings!$B$10</f>
        <v/>
      </c>
      <c r="N18" s="8">
        <f>M18-INDEX(Settings!$G$4:$G$9,MATCH($E18,Settings!$F$4:$F$9,0))</f>
        <v/>
      </c>
      <c r="O18" s="7">
        <f>N18*INDEX(Settings!$H$4:$H$9,MATCH($E18,Settings!$F$4:$F$9,0))</f>
        <v/>
      </c>
      <c r="P18" s="3" t="inlineStr">
        <is>
          <t>HIGH</t>
        </is>
      </c>
      <c r="Q18" s="5" t="inlineStr">
        <is>
          <t>Goal-line yes</t>
        </is>
      </c>
    </row>
    <row r="19">
      <c r="A19" s="3" t="n">
        <v>17</v>
      </c>
      <c r="B19" s="11" t="inlineStr">
        <is>
          <t>K1</t>
        </is>
      </c>
      <c r="C19" s="5" t="inlineStr">
        <is>
          <t>Jason Myers</t>
        </is>
      </c>
      <c r="D19" s="3" t="inlineStr">
        <is>
          <t>SEA</t>
        </is>
      </c>
      <c r="E19" s="11" t="inlineStr">
        <is>
          <t>K</t>
        </is>
      </c>
      <c r="F19" s="6" t="n"/>
      <c r="G19" s="6" t="n"/>
      <c r="H19" s="6" t="n"/>
      <c r="I19" s="6" t="n">
        <v>39</v>
      </c>
      <c r="J19" s="6" t="n">
        <v>50</v>
      </c>
      <c r="K19" s="6" t="n"/>
      <c r="L19" s="6" t="n"/>
      <c r="M19" s="7">
        <f>F19*Settings!$B$4+G19*Settings!$B$5+H19*Settings!$B$6+I19*Settings!$B$7+J19*Settings!$B$8+K19*Settings!$B$9+L19*Settings!$B$10</f>
        <v/>
      </c>
      <c r="N19" s="8">
        <f>M19-INDEX(Settings!$G$4:$G$9,MATCH($E19,Settings!$F$4:$F$9,0))</f>
        <v/>
      </c>
      <c r="O19" s="7">
        <f>N19*INDEX(Settings!$H$4:$H$9,MATCH($E19,Settings!$F$4:$F$9,0))</f>
        <v/>
      </c>
      <c r="P19" s="3" t="inlineStr">
        <is>
          <t>HIGH</t>
        </is>
      </c>
      <c r="Q19" s="5" t="inlineStr">
        <is>
          <t>Led NFL 43 FGM 2025 on 48 FGA</t>
        </is>
      </c>
    </row>
    <row r="20">
      <c r="A20" s="3" t="n">
        <v>18</v>
      </c>
      <c r="B20" s="9" t="inlineStr">
        <is>
          <t>RB11</t>
        </is>
      </c>
      <c r="C20" s="5" t="inlineStr">
        <is>
          <t>Chase Brown</t>
        </is>
      </c>
      <c r="D20" s="3" t="inlineStr">
        <is>
          <t>CIN</t>
        </is>
      </c>
      <c r="E20" s="9" t="inlineStr">
        <is>
          <t>RB</t>
        </is>
      </c>
      <c r="F20" s="6" t="n"/>
      <c r="G20" s="6" t="n">
        <v>7.4</v>
      </c>
      <c r="H20" s="6" t="n">
        <v>3.6</v>
      </c>
      <c r="I20" s="6" t="n"/>
      <c r="J20" s="6" t="n"/>
      <c r="K20" s="6" t="n"/>
      <c r="L20" s="6" t="n"/>
      <c r="M20" s="7">
        <f>F20*Settings!$B$4+G20*Settings!$B$5+H20*Settings!$B$6+I20*Settings!$B$7+J20*Settings!$B$8+K20*Settings!$B$9+L20*Settings!$B$10</f>
        <v/>
      </c>
      <c r="N20" s="8">
        <f>M20-INDEX(Settings!$G$4:$G$9,MATCH($E20,Settings!$F$4:$F$9,0))</f>
        <v/>
      </c>
      <c r="O20" s="7">
        <f>N20*INDEX(Settings!$H$4:$H$9,MATCH($E20,Settings!$F$4:$F$9,0))</f>
        <v/>
      </c>
      <c r="P20" s="3" t="inlineStr">
        <is>
          <t>HIGH</t>
        </is>
      </c>
      <c r="Q20" s="5" t="inlineStr">
        <is>
          <t>Vegas LOWER than consensus</t>
        </is>
      </c>
    </row>
    <row r="21">
      <c r="A21" s="3" t="n">
        <v>19</v>
      </c>
      <c r="B21" s="9" t="inlineStr">
        <is>
          <t>RB12</t>
        </is>
      </c>
      <c r="C21" s="5" t="inlineStr">
        <is>
          <t>Saquon Barkley</t>
        </is>
      </c>
      <c r="D21" s="3" t="inlineStr">
        <is>
          <t>PHI</t>
        </is>
      </c>
      <c r="E21" s="9" t="inlineStr">
        <is>
          <t>RB</t>
        </is>
      </c>
      <c r="F21" s="6" t="n"/>
      <c r="G21" s="6" t="n">
        <v>8.6</v>
      </c>
      <c r="H21" s="6" t="n">
        <v>2.1</v>
      </c>
      <c r="I21" s="6" t="n"/>
      <c r="J21" s="6" t="n"/>
      <c r="K21" s="6" t="n"/>
      <c r="L21" s="6" t="n"/>
      <c r="M21" s="7">
        <f>F21*Settings!$B$4+G21*Settings!$B$5+H21*Settings!$B$6+I21*Settings!$B$7+J21*Settings!$B$8+K21*Settings!$B$9+L21*Settings!$B$10</f>
        <v/>
      </c>
      <c r="N21" s="8">
        <f>M21-INDEX(Settings!$G$4:$G$9,MATCH($E21,Settings!$F$4:$F$9,0))</f>
        <v/>
      </c>
      <c r="O21" s="7">
        <f>N21*INDEX(Settings!$H$4:$H$9,MATCH($E21,Settings!$F$4:$F$9,0))</f>
        <v/>
      </c>
      <c r="P21" s="3" t="inlineStr">
        <is>
          <t>HIGH</t>
        </is>
      </c>
      <c r="Q21" s="5" t="inlineStr">
        <is>
          <t>TRAP: Hurts vultures 8.5 rush TDs; not priced in</t>
        </is>
      </c>
    </row>
    <row r="22">
      <c r="A22" s="3" t="n">
        <v>20</v>
      </c>
      <c r="B22" s="9" t="inlineStr">
        <is>
          <t>RB13</t>
        </is>
      </c>
      <c r="C22" s="5" t="inlineStr">
        <is>
          <t>Kenneth Walker III</t>
        </is>
      </c>
      <c r="D22" s="3" t="inlineStr">
        <is>
          <t>KC</t>
        </is>
      </c>
      <c r="E22" s="9" t="inlineStr">
        <is>
          <t>RB</t>
        </is>
      </c>
      <c r="F22" s="6" t="n"/>
      <c r="G22" s="6" t="n">
        <v>8.9</v>
      </c>
      <c r="H22" s="6" t="n">
        <v>1.6</v>
      </c>
      <c r="I22" s="6" t="n"/>
      <c r="J22" s="6" t="n"/>
      <c r="K22" s="6" t="n"/>
      <c r="L22" s="6" t="n"/>
      <c r="M22" s="7">
        <f>F22*Settings!$B$4+G22*Settings!$B$5+H22*Settings!$B$6+I22*Settings!$B$7+J22*Settings!$B$8+K22*Settings!$B$9+L22*Settings!$B$10</f>
        <v/>
      </c>
      <c r="N22" s="8">
        <f>M22-INDEX(Settings!$G$4:$G$9,MATCH($E22,Settings!$F$4:$F$9,0))</f>
        <v/>
      </c>
      <c r="O22" s="7">
        <f>N22*INDEX(Settings!$H$4:$H$9,MATCH($E22,Settings!$F$4:$F$9,0))</f>
        <v/>
      </c>
      <c r="P22" s="3" t="inlineStr">
        <is>
          <t>HIGH</t>
        </is>
      </c>
      <c r="Q22" s="5" t="inlineStr">
        <is>
          <t>New to KC; no established GL hierarchy</t>
        </is>
      </c>
    </row>
    <row r="23">
      <c r="A23" s="3" t="n">
        <v>21</v>
      </c>
      <c r="B23" s="12" t="inlineStr">
        <is>
          <t>TE1</t>
        </is>
      </c>
      <c r="C23" s="5" t="inlineStr">
        <is>
          <t>Brock Bowers</t>
        </is>
      </c>
      <c r="D23" s="3" t="inlineStr">
        <is>
          <t>LV</t>
        </is>
      </c>
      <c r="E23" s="12" t="inlineStr">
        <is>
          <t>TE</t>
        </is>
      </c>
      <c r="F23" s="6" t="n"/>
      <c r="G23" s="6" t="n">
        <v>0.1</v>
      </c>
      <c r="H23" s="6" t="n">
        <v>6.8</v>
      </c>
      <c r="I23" s="6" t="n"/>
      <c r="J23" s="6" t="n"/>
      <c r="K23" s="6" t="n"/>
      <c r="L23" s="6" t="n"/>
      <c r="M23" s="7">
        <f>F23*Settings!$B$4+G23*Settings!$B$5+H23*Settings!$B$6+I23*Settings!$B$7+J23*Settings!$B$8+K23*Settings!$B$9+L23*Settings!$B$10</f>
        <v/>
      </c>
      <c r="N23" s="8">
        <f>M23-INDEX(Settings!$G$4:$G$9,MATCH($E23,Settings!$F$4:$F$9,0))</f>
        <v/>
      </c>
      <c r="O23" s="7">
        <f>N23*INDEX(Settings!$H$4:$H$9,MATCH($E23,Settings!$F$4:$F$9,0))</f>
        <v/>
      </c>
      <c r="P23" s="3" t="inlineStr">
        <is>
          <t>HIGH</t>
        </is>
      </c>
      <c r="Q23" s="5" t="inlineStr"/>
    </row>
    <row r="24">
      <c r="A24" s="3" t="n">
        <v>22</v>
      </c>
      <c r="B24" s="12" t="inlineStr">
        <is>
          <t>TE2</t>
        </is>
      </c>
      <c r="C24" s="5" t="inlineStr">
        <is>
          <t>Mark Andrews</t>
        </is>
      </c>
      <c r="D24" s="3" t="inlineStr">
        <is>
          <t>BAL</t>
        </is>
      </c>
      <c r="E24" s="12" t="inlineStr">
        <is>
          <t>TE</t>
        </is>
      </c>
      <c r="F24" s="6" t="n"/>
      <c r="G24" s="6" t="n">
        <v>0.3</v>
      </c>
      <c r="H24" s="6" t="n">
        <v>6.5</v>
      </c>
      <c r="I24" s="6" t="n"/>
      <c r="J24" s="6" t="n"/>
      <c r="K24" s="6" t="n"/>
      <c r="L24" s="6" t="n"/>
      <c r="M24" s="7">
        <f>F24*Settings!$B$4+G24*Settings!$B$5+H24*Settings!$B$6+I24*Settings!$B$7+J24*Settings!$B$8+K24*Settings!$B$9+L24*Settings!$B$10</f>
        <v/>
      </c>
      <c r="N24" s="8">
        <f>M24-INDEX(Settings!$G$4:$G$9,MATCH($E24,Settings!$F$4:$F$9,0))</f>
        <v/>
      </c>
      <c r="O24" s="7">
        <f>N24*INDEX(Settings!$H$4:$H$9,MATCH($E24,Settings!$F$4:$F$9,0))</f>
        <v/>
      </c>
      <c r="P24" s="3" t="inlineStr">
        <is>
          <t>HIGH</t>
        </is>
      </c>
      <c r="Q24" s="5" t="inlineStr"/>
    </row>
    <row r="25">
      <c r="A25" s="3" t="n">
        <v>23</v>
      </c>
      <c r="B25" s="11" t="inlineStr">
        <is>
          <t>K2</t>
        </is>
      </c>
      <c r="C25" s="5" t="inlineStr">
        <is>
          <t>Ka'imi Fairbairn</t>
        </is>
      </c>
      <c r="D25" s="3" t="inlineStr">
        <is>
          <t>HOU</t>
        </is>
      </c>
      <c r="E25" s="11" t="inlineStr">
        <is>
          <t>K</t>
        </is>
      </c>
      <c r="F25" s="6" t="n"/>
      <c r="G25" s="6" t="n"/>
      <c r="H25" s="6" t="n"/>
      <c r="I25" s="6" t="n">
        <v>39</v>
      </c>
      <c r="J25" s="6" t="n">
        <v>39</v>
      </c>
      <c r="K25" s="6" t="n"/>
      <c r="L25" s="6" t="n"/>
      <c r="M25" s="7">
        <f>F25*Settings!$B$4+G25*Settings!$B$5+H25*Settings!$B$6+I25*Settings!$B$7+J25*Settings!$B$8+K25*Settings!$B$9+L25*Settings!$B$10</f>
        <v/>
      </c>
      <c r="N25" s="8">
        <f>M25-INDEX(Settings!$G$4:$G$9,MATCH($E25,Settings!$F$4:$F$9,0))</f>
        <v/>
      </c>
      <c r="O25" s="7">
        <f>N25*INDEX(Settings!$H$4:$H$9,MATCH($E25,Settings!$F$4:$F$9,0))</f>
        <v/>
      </c>
      <c r="P25" s="3" t="inlineStr">
        <is>
          <t>HIGH</t>
        </is>
      </c>
      <c r="Q25" s="5" t="inlineStr">
        <is>
          <t>Best FG-lean in league; HOU led NFL 52 FGA</t>
        </is>
      </c>
    </row>
    <row r="26">
      <c r="A26" s="3" t="n">
        <v>24</v>
      </c>
      <c r="B26" s="4" t="inlineStr">
        <is>
          <t>QB3</t>
        </is>
      </c>
      <c r="C26" s="5" t="inlineStr">
        <is>
          <t>Joe Burrow</t>
        </is>
      </c>
      <c r="D26" s="3" t="inlineStr">
        <is>
          <t>CIN</t>
        </is>
      </c>
      <c r="E26" s="4" t="inlineStr">
        <is>
          <t>QB</t>
        </is>
      </c>
      <c r="F26" s="6" t="n">
        <v>33</v>
      </c>
      <c r="G26" s="6" t="n">
        <v>1.5</v>
      </c>
      <c r="H26" s="6" t="n"/>
      <c r="I26" s="6" t="n"/>
      <c r="J26" s="6" t="n"/>
      <c r="K26" s="6" t="n"/>
      <c r="L26" s="6" t="n"/>
      <c r="M26" s="7">
        <f>F26*Settings!$B$4+G26*Settings!$B$5+H26*Settings!$B$6+I26*Settings!$B$7+J26*Settings!$B$8+K26*Settings!$B$9+L26*Settings!$B$10</f>
        <v/>
      </c>
      <c r="N26" s="8">
        <f>M26-INDEX(Settings!$G$4:$G$9,MATCH($E26,Settings!$F$4:$F$9,0))</f>
        <v/>
      </c>
      <c r="O26" s="7">
        <f>N26*INDEX(Settings!$H$4:$H$9,MATCH($E26,Settings!$F$4:$F$9,0))</f>
        <v/>
      </c>
      <c r="P26" s="3" t="inlineStr">
        <is>
          <t>HIGH</t>
        </is>
      </c>
      <c r="Q26" s="5" t="inlineStr">
        <is>
          <t>Volume passer; CIN 26.0 implied pts</t>
        </is>
      </c>
    </row>
    <row r="27">
      <c r="A27" s="3" t="n">
        <v>25</v>
      </c>
      <c r="B27" s="4" t="inlineStr">
        <is>
          <t>QB4</t>
        </is>
      </c>
      <c r="C27" s="5" t="inlineStr">
        <is>
          <t>Drake Maye</t>
        </is>
      </c>
      <c r="D27" s="3" t="inlineStr">
        <is>
          <t>NE</t>
        </is>
      </c>
      <c r="E27" s="4" t="inlineStr">
        <is>
          <t>QB</t>
        </is>
      </c>
      <c r="F27" s="6" t="n">
        <v>28</v>
      </c>
      <c r="G27" s="6" t="n">
        <v>4</v>
      </c>
      <c r="H27" s="6" t="n"/>
      <c r="I27" s="6" t="n"/>
      <c r="J27" s="6" t="n"/>
      <c r="K27" s="6" t="n"/>
      <c r="L27" s="6" t="n"/>
      <c r="M27" s="7">
        <f>F27*Settings!$B$4+G27*Settings!$B$5+H27*Settings!$B$6+I27*Settings!$B$7+J27*Settings!$B$8+K27*Settings!$B$9+L27*Settings!$B$10</f>
        <v/>
      </c>
      <c r="N27" s="8">
        <f>M27-INDEX(Settings!$G$4:$G$9,MATCH($E27,Settings!$F$4:$F$9,0))</f>
        <v/>
      </c>
      <c r="O27" s="7">
        <f>N27*INDEX(Settings!$H$4:$H$9,MATCH($E27,Settings!$F$4:$F$9,0))</f>
        <v/>
      </c>
      <c r="P27" s="3" t="inlineStr">
        <is>
          <t>HIGH</t>
        </is>
      </c>
      <c r="Q27" s="5" t="inlineStr">
        <is>
          <t>NE 10.5 win total</t>
        </is>
      </c>
    </row>
    <row r="28">
      <c r="A28" s="3" t="n">
        <v>26</v>
      </c>
      <c r="B28" s="10" t="inlineStr">
        <is>
          <t>WR5</t>
        </is>
      </c>
      <c r="C28" s="5" t="inlineStr">
        <is>
          <t>CeeDee Lamb</t>
        </is>
      </c>
      <c r="D28" s="3" t="inlineStr">
        <is>
          <t>DAL</t>
        </is>
      </c>
      <c r="E28" s="10" t="inlineStr">
        <is>
          <t>WR</t>
        </is>
      </c>
      <c r="F28" s="6" t="n"/>
      <c r="G28" s="6" t="n">
        <v>0.1</v>
      </c>
      <c r="H28" s="6" t="n">
        <v>8.300000000000001</v>
      </c>
      <c r="I28" s="6" t="n"/>
      <c r="J28" s="6" t="n"/>
      <c r="K28" s="6" t="n"/>
      <c r="L28" s="6" t="n"/>
      <c r="M28" s="7">
        <f>F28*Settings!$B$4+G28*Settings!$B$5+H28*Settings!$B$6+I28*Settings!$B$7+J28*Settings!$B$8+K28*Settings!$B$9+L28*Settings!$B$10</f>
        <v/>
      </c>
      <c r="N28" s="8">
        <f>M28-INDEX(Settings!$G$4:$G$9,MATCH($E28,Settings!$F$4:$F$9,0))</f>
        <v/>
      </c>
      <c r="O28" s="7">
        <f>N28*INDEX(Settings!$H$4:$H$9,MATCH($E28,Settings!$F$4:$F$9,0))</f>
        <v/>
      </c>
      <c r="P28" s="3" t="inlineStr">
        <is>
          <t>HIGH</t>
        </is>
      </c>
      <c r="Q28" s="5" t="inlineStr"/>
    </row>
    <row r="29">
      <c r="A29" s="3" t="n">
        <v>27</v>
      </c>
      <c r="B29" s="11" t="inlineStr">
        <is>
          <t>K3</t>
        </is>
      </c>
      <c r="C29" s="5" t="inlineStr">
        <is>
          <t>Brandon Aubrey</t>
        </is>
      </c>
      <c r="D29" s="3" t="inlineStr">
        <is>
          <t>DAL</t>
        </is>
      </c>
      <c r="E29" s="11" t="inlineStr">
        <is>
          <t>K</t>
        </is>
      </c>
      <c r="F29" s="6" t="n"/>
      <c r="G29" s="6" t="n"/>
      <c r="H29" s="6" t="n"/>
      <c r="I29" s="6" t="n">
        <v>35</v>
      </c>
      <c r="J29" s="6" t="n">
        <v>49</v>
      </c>
      <c r="K29" s="6" t="n"/>
      <c r="L29" s="6" t="n"/>
      <c r="M29" s="7">
        <f>F29*Settings!$B$4+G29*Settings!$B$5+H29*Settings!$B$6+I29*Settings!$B$7+J29*Settings!$B$8+K29*Settings!$B$9+L29*Settings!$B$10</f>
        <v/>
      </c>
      <c r="N29" s="8">
        <f>M29-INDEX(Settings!$G$4:$G$9,MATCH($E29,Settings!$F$4:$F$9,0))</f>
        <v/>
      </c>
      <c r="O29" s="7">
        <f>N29*INDEX(Settings!$H$4:$H$9,MATCH($E29,Settings!$F$4:$F$9,0))</f>
        <v/>
      </c>
      <c r="P29" s="3" t="inlineStr">
        <is>
          <t>HIGH</t>
        </is>
      </c>
      <c r="Q29" s="5" t="inlineStr"/>
    </row>
    <row r="30">
      <c r="A30" s="3" t="n">
        <v>28</v>
      </c>
      <c r="B30" s="10" t="inlineStr">
        <is>
          <t>WR6</t>
        </is>
      </c>
      <c r="C30" s="5" t="inlineStr">
        <is>
          <t>Jaxon Smith-Njigba</t>
        </is>
      </c>
      <c r="D30" s="3" t="inlineStr">
        <is>
          <t>SEA</t>
        </is>
      </c>
      <c r="E30" s="10" t="inlineStr">
        <is>
          <t>WR</t>
        </is>
      </c>
      <c r="F30" s="6" t="n"/>
      <c r="G30" s="6" t="n">
        <v>0.1</v>
      </c>
      <c r="H30" s="6" t="n">
        <v>8.199999999999999</v>
      </c>
      <c r="I30" s="6" t="n"/>
      <c r="J30" s="6" t="n"/>
      <c r="K30" s="6" t="n"/>
      <c r="L30" s="6" t="n"/>
      <c r="M30" s="7">
        <f>F30*Settings!$B$4+G30*Settings!$B$5+H30*Settings!$B$6+I30*Settings!$B$7+J30*Settings!$B$8+K30*Settings!$B$9+L30*Settings!$B$10</f>
        <v/>
      </c>
      <c r="N30" s="8">
        <f>M30-INDEX(Settings!$G$4:$G$9,MATCH($E30,Settings!$F$4:$F$9,0))</f>
        <v/>
      </c>
      <c r="O30" s="7">
        <f>N30*INDEX(Settings!$H$4:$H$9,MATCH($E30,Settings!$F$4:$F$9,0))</f>
        <v/>
      </c>
      <c r="P30" s="3" t="inlineStr">
        <is>
          <t>HIGH</t>
        </is>
      </c>
      <c r="Q30" s="5" t="inlineStr"/>
    </row>
    <row r="31">
      <c r="A31" s="3" t="n">
        <v>29</v>
      </c>
      <c r="B31" s="11" t="inlineStr">
        <is>
          <t>K4</t>
        </is>
      </c>
      <c r="C31" s="5" t="inlineStr">
        <is>
          <t>Blake Grupe</t>
        </is>
      </c>
      <c r="D31" s="3" t="inlineStr">
        <is>
          <t>IND</t>
        </is>
      </c>
      <c r="E31" s="11" t="inlineStr">
        <is>
          <t>K</t>
        </is>
      </c>
      <c r="F31" s="6" t="n"/>
      <c r="G31" s="6" t="n"/>
      <c r="H31" s="6" t="n"/>
      <c r="I31" s="6" t="n">
        <v>34</v>
      </c>
      <c r="J31" s="6" t="n">
        <v>51</v>
      </c>
      <c r="K31" s="6" t="n"/>
      <c r="L31" s="6" t="n"/>
      <c r="M31" s="7">
        <f>F31*Settings!$B$4+G31*Settings!$B$5+H31*Settings!$B$6+I31*Settings!$B$7+J31*Settings!$B$8+K31*Settings!$B$9+L31*Settings!$B$10</f>
        <v/>
      </c>
      <c r="N31" s="8">
        <f>M31-INDEX(Settings!$G$4:$G$9,MATCH($E31,Settings!$F$4:$F$9,0))</f>
        <v/>
      </c>
      <c r="O31" s="7">
        <f>N31*INDEX(Settings!$H$4:$H$9,MATCH($E31,Settings!$F$4:$F$9,0))</f>
        <v/>
      </c>
      <c r="P31" s="3" t="inlineStr">
        <is>
          <t>MEDIUM</t>
        </is>
      </c>
      <c r="Q31" s="5" t="inlineStr">
        <is>
          <t>Shrader listed as backup</t>
        </is>
      </c>
    </row>
    <row r="32">
      <c r="A32" s="3" t="n">
        <v>30</v>
      </c>
      <c r="B32" s="10" t="inlineStr">
        <is>
          <t>WR7</t>
        </is>
      </c>
      <c r="C32" s="5" t="inlineStr">
        <is>
          <t>Rashee Rice</t>
        </is>
      </c>
      <c r="D32" s="3" t="inlineStr">
        <is>
          <t>KC</t>
        </is>
      </c>
      <c r="E32" s="10" t="inlineStr">
        <is>
          <t>WR</t>
        </is>
      </c>
      <c r="F32" s="6" t="n"/>
      <c r="G32" s="6" t="n">
        <v>0.3</v>
      </c>
      <c r="H32" s="6" t="n">
        <v>7.9</v>
      </c>
      <c r="I32" s="6" t="n"/>
      <c r="J32" s="6" t="n"/>
      <c r="K32" s="6" t="n"/>
      <c r="L32" s="6" t="n"/>
      <c r="M32" s="7">
        <f>F32*Settings!$B$4+G32*Settings!$B$5+H32*Settings!$B$6+I32*Settings!$B$7+J32*Settings!$B$8+K32*Settings!$B$9+L32*Settings!$B$10</f>
        <v/>
      </c>
      <c r="N32" s="8">
        <f>M32-INDEX(Settings!$G$4:$G$9,MATCH($E32,Settings!$F$4:$F$9,0))</f>
        <v/>
      </c>
      <c r="O32" s="7">
        <f>N32*INDEX(Settings!$H$4:$H$9,MATCH($E32,Settings!$F$4:$F$9,0))</f>
        <v/>
      </c>
      <c r="P32" s="3" t="inlineStr">
        <is>
          <t>HIGH</t>
        </is>
      </c>
      <c r="Q32" s="5" t="inlineStr"/>
    </row>
    <row r="33">
      <c r="A33" s="3" t="n">
        <v>31</v>
      </c>
      <c r="B33" s="10" t="inlineStr">
        <is>
          <t>WR8</t>
        </is>
      </c>
      <c r="C33" s="5" t="inlineStr">
        <is>
          <t>Tee Higgins</t>
        </is>
      </c>
      <c r="D33" s="3" t="inlineStr">
        <is>
          <t>CIN</t>
        </is>
      </c>
      <c r="E33" s="10" t="inlineStr">
        <is>
          <t>WR</t>
        </is>
      </c>
      <c r="F33" s="6" t="n"/>
      <c r="G33" s="6" t="n"/>
      <c r="H33" s="6" t="n">
        <v>8.199999999999999</v>
      </c>
      <c r="I33" s="6" t="n"/>
      <c r="J33" s="6" t="n"/>
      <c r="K33" s="6" t="n"/>
      <c r="L33" s="6" t="n"/>
      <c r="M33" s="7">
        <f>F33*Settings!$B$4+G33*Settings!$B$5+H33*Settings!$B$6+I33*Settings!$B$7+J33*Settings!$B$8+K33*Settings!$B$9+L33*Settings!$B$10</f>
        <v/>
      </c>
      <c r="N33" s="8">
        <f>M33-INDEX(Settings!$G$4:$G$9,MATCH($E33,Settings!$F$4:$F$9,0))</f>
        <v/>
      </c>
      <c r="O33" s="7">
        <f>N33*INDEX(Settings!$H$4:$H$9,MATCH($E33,Settings!$F$4:$F$9,0))</f>
        <v/>
      </c>
      <c r="P33" s="3" t="inlineStr">
        <is>
          <t>HIGH</t>
        </is>
      </c>
      <c r="Q33" s="5" t="inlineStr"/>
    </row>
    <row r="34">
      <c r="A34" s="3" t="n">
        <v>32</v>
      </c>
      <c r="B34" s="12" t="inlineStr">
        <is>
          <t>TE3</t>
        </is>
      </c>
      <c r="C34" s="5" t="inlineStr">
        <is>
          <t>Trey McBride</t>
        </is>
      </c>
      <c r="D34" s="3" t="inlineStr">
        <is>
          <t>ARI</t>
        </is>
      </c>
      <c r="E34" s="12" t="inlineStr">
        <is>
          <t>TE</t>
        </is>
      </c>
      <c r="F34" s="6" t="n"/>
      <c r="G34" s="6" t="n"/>
      <c r="H34" s="6" t="n">
        <v>6.2</v>
      </c>
      <c r="I34" s="6" t="n"/>
      <c r="J34" s="6" t="n"/>
      <c r="K34" s="6" t="n"/>
      <c r="L34" s="6" t="n"/>
      <c r="M34" s="7">
        <f>F34*Settings!$B$4+G34*Settings!$B$5+H34*Settings!$B$6+I34*Settings!$B$7+J34*Settings!$B$8+K34*Settings!$B$9+L34*Settings!$B$10</f>
        <v/>
      </c>
      <c r="N34" s="8">
        <f>M34-INDEX(Settings!$G$4:$G$9,MATCH($E34,Settings!$F$4:$F$9,0))</f>
        <v/>
      </c>
      <c r="O34" s="7">
        <f>N34*INDEX(Settings!$H$4:$H$9,MATCH($E34,Settings!$F$4:$F$9,0))</f>
        <v/>
      </c>
      <c r="P34" s="3" t="inlineStr">
        <is>
          <t>HIGH</t>
        </is>
      </c>
      <c r="Q34" s="5" t="inlineStr"/>
    </row>
    <row r="35">
      <c r="A35" s="3" t="n">
        <v>33</v>
      </c>
      <c r="B35" s="4" t="inlineStr">
        <is>
          <t>QB5</t>
        </is>
      </c>
      <c r="C35" s="5" t="inlineStr">
        <is>
          <t>Trevor Lawrence</t>
        </is>
      </c>
      <c r="D35" s="3" t="inlineStr">
        <is>
          <t>JAX</t>
        </is>
      </c>
      <c r="E35" s="4" t="inlineStr">
        <is>
          <t>QB</t>
        </is>
      </c>
      <c r="F35" s="6" t="n">
        <v>26</v>
      </c>
      <c r="G35" s="6" t="n">
        <v>4.5</v>
      </c>
      <c r="H35" s="6" t="n"/>
      <c r="I35" s="6" t="n"/>
      <c r="J35" s="6" t="n"/>
      <c r="K35" s="6" t="n"/>
      <c r="L35" s="6" t="n"/>
      <c r="M35" s="7">
        <f>F35*Settings!$B$4+G35*Settings!$B$5+H35*Settings!$B$6+I35*Settings!$B$7+J35*Settings!$B$8+K35*Settings!$B$9+L35*Settings!$B$10</f>
        <v/>
      </c>
      <c r="N35" s="8">
        <f>M35-INDEX(Settings!$G$4:$G$9,MATCH($E35,Settings!$F$4:$F$9,0))</f>
        <v/>
      </c>
      <c r="O35" s="7">
        <f>N35*INDEX(Settings!$H$4:$H$9,MATCH($E35,Settings!$F$4:$F$9,0))</f>
        <v/>
      </c>
      <c r="P35" s="3" t="inlineStr">
        <is>
          <t>HIGH</t>
        </is>
      </c>
      <c r="Q35" s="5" t="inlineStr"/>
    </row>
    <row r="36">
      <c r="A36" s="3" t="n">
        <v>34</v>
      </c>
      <c r="B36" s="4" t="inlineStr">
        <is>
          <t>QB6</t>
        </is>
      </c>
      <c r="C36" s="5" t="inlineStr">
        <is>
          <t>Matthew Stafford</t>
        </is>
      </c>
      <c r="D36" s="3" t="inlineStr">
        <is>
          <t>LAR</t>
        </is>
      </c>
      <c r="E36" s="4" t="inlineStr">
        <is>
          <t>QB</t>
        </is>
      </c>
      <c r="F36" s="6" t="n">
        <v>34</v>
      </c>
      <c r="G36" s="6" t="n">
        <v>0.5</v>
      </c>
      <c r="H36" s="6" t="n"/>
      <c r="I36" s="6" t="n"/>
      <c r="J36" s="6" t="n"/>
      <c r="K36" s="6" t="n"/>
      <c r="L36" s="6" t="n"/>
      <c r="M36" s="7">
        <f>F36*Settings!$B$4+G36*Settings!$B$5+H36*Settings!$B$6+I36*Settings!$B$7+J36*Settings!$B$8+K36*Settings!$B$9+L36*Settings!$B$10</f>
        <v/>
      </c>
      <c r="N36" s="8">
        <f>M36-INDEX(Settings!$G$4:$G$9,MATCH($E36,Settings!$F$4:$F$9,0))</f>
        <v/>
      </c>
      <c r="O36" s="7">
        <f>N36*INDEX(Settings!$H$4:$H$9,MATCH($E36,Settings!$F$4:$F$9,0))</f>
        <v/>
      </c>
      <c r="P36" s="3" t="inlineStr">
        <is>
          <t>HIGH</t>
        </is>
      </c>
      <c r="Q36" s="5" t="inlineStr">
        <is>
          <t>LAR highest implied pts 26.6 but zero rush value</t>
        </is>
      </c>
    </row>
    <row r="37">
      <c r="A37" s="3" t="n">
        <v>35</v>
      </c>
      <c r="B37" s="12" t="inlineStr">
        <is>
          <t>TE4</t>
        </is>
      </c>
      <c r="C37" s="5" t="inlineStr">
        <is>
          <t>Colston Loveland</t>
        </is>
      </c>
      <c r="D37" s="3" t="inlineStr">
        <is>
          <t>CHI</t>
        </is>
      </c>
      <c r="E37" s="12" t="inlineStr">
        <is>
          <t>TE</t>
        </is>
      </c>
      <c r="F37" s="6" t="n"/>
      <c r="G37" s="6" t="n"/>
      <c r="H37" s="6" t="n">
        <v>6</v>
      </c>
      <c r="I37" s="6" t="n"/>
      <c r="J37" s="6" t="n"/>
      <c r="K37" s="6" t="n"/>
      <c r="L37" s="6" t="n"/>
      <c r="M37" s="7">
        <f>F37*Settings!$B$4+G37*Settings!$B$5+H37*Settings!$B$6+I37*Settings!$B$7+J37*Settings!$B$8+K37*Settings!$B$9+L37*Settings!$B$10</f>
        <v/>
      </c>
      <c r="N37" s="8">
        <f>M37-INDEX(Settings!$G$4:$G$9,MATCH($E37,Settings!$F$4:$F$9,0))</f>
        <v/>
      </c>
      <c r="O37" s="7">
        <f>N37*INDEX(Settings!$H$4:$H$9,MATCH($E37,Settings!$F$4:$F$9,0))</f>
        <v/>
      </c>
      <c r="P37" s="3" t="inlineStr">
        <is>
          <t>HIGH</t>
        </is>
      </c>
      <c r="Q37" s="5" t="inlineStr"/>
    </row>
    <row r="38">
      <c r="A38" s="3" t="n">
        <v>36</v>
      </c>
      <c r="B38" s="10" t="inlineStr">
        <is>
          <t>WR9</t>
        </is>
      </c>
      <c r="C38" s="5" t="inlineStr">
        <is>
          <t>Rome Odunze</t>
        </is>
      </c>
      <c r="D38" s="3" t="inlineStr">
        <is>
          <t>CHI</t>
        </is>
      </c>
      <c r="E38" s="10" t="inlineStr">
        <is>
          <t>WR</t>
        </is>
      </c>
      <c r="F38" s="6" t="n"/>
      <c r="G38" s="6" t="n"/>
      <c r="H38" s="6" t="n">
        <v>7.7</v>
      </c>
      <c r="I38" s="6" t="n"/>
      <c r="J38" s="6" t="n"/>
      <c r="K38" s="6" t="n"/>
      <c r="L38" s="6" t="n"/>
      <c r="M38" s="7">
        <f>F38*Settings!$B$4+G38*Settings!$B$5+H38*Settings!$B$6+I38*Settings!$B$7+J38*Settings!$B$8+K38*Settings!$B$9+L38*Settings!$B$10</f>
        <v/>
      </c>
      <c r="N38" s="8">
        <f>M38-INDEX(Settings!$G$4:$G$9,MATCH($E38,Settings!$F$4:$F$9,0))</f>
        <v/>
      </c>
      <c r="O38" s="7">
        <f>N38*INDEX(Settings!$H$4:$H$9,MATCH($E38,Settings!$F$4:$F$9,0))</f>
        <v/>
      </c>
      <c r="P38" s="3" t="inlineStr">
        <is>
          <t>HIGH</t>
        </is>
      </c>
      <c r="Q38" s="5" t="inlineStr"/>
    </row>
    <row r="39">
      <c r="A39" s="3" t="n">
        <v>37</v>
      </c>
      <c r="B39" s="4" t="inlineStr">
        <is>
          <t>QB7</t>
        </is>
      </c>
      <c r="C39" s="5" t="inlineStr">
        <is>
          <t>Dak Prescott</t>
        </is>
      </c>
      <c r="D39" s="3" t="inlineStr">
        <is>
          <t>DAL</t>
        </is>
      </c>
      <c r="E39" s="4" t="inlineStr">
        <is>
          <t>QB</t>
        </is>
      </c>
      <c r="F39" s="6" t="n">
        <v>30.5</v>
      </c>
      <c r="G39" s="6" t="n">
        <v>2</v>
      </c>
      <c r="H39" s="6" t="n"/>
      <c r="I39" s="6" t="n"/>
      <c r="J39" s="6" t="n"/>
      <c r="K39" s="6" t="n"/>
      <c r="L39" s="6" t="n"/>
      <c r="M39" s="7">
        <f>F39*Settings!$B$4+G39*Settings!$B$5+H39*Settings!$B$6+I39*Settings!$B$7+J39*Settings!$B$8+K39*Settings!$B$9+L39*Settings!$B$10</f>
        <v/>
      </c>
      <c r="N39" s="8">
        <f>M39-INDEX(Settings!$G$4:$G$9,MATCH($E39,Settings!$F$4:$F$9,0))</f>
        <v/>
      </c>
      <c r="O39" s="7">
        <f>N39*INDEX(Settings!$H$4:$H$9,MATCH($E39,Settings!$F$4:$F$9,0))</f>
        <v/>
      </c>
      <c r="P39" s="3" t="inlineStr">
        <is>
          <t>HIGH</t>
        </is>
      </c>
      <c r="Q39" s="5" t="inlineStr"/>
    </row>
    <row r="40">
      <c r="A40" s="3" t="n">
        <v>38</v>
      </c>
      <c r="B40" s="12" t="inlineStr">
        <is>
          <t>TE5</t>
        </is>
      </c>
      <c r="C40" s="5" t="inlineStr">
        <is>
          <t>Dallas Goedert</t>
        </is>
      </c>
      <c r="D40" s="3" t="inlineStr">
        <is>
          <t>PHI</t>
        </is>
      </c>
      <c r="E40" s="12" t="inlineStr">
        <is>
          <t>TE</t>
        </is>
      </c>
      <c r="F40" s="6" t="n"/>
      <c r="G40" s="6" t="n"/>
      <c r="H40" s="6" t="n">
        <v>5.8</v>
      </c>
      <c r="I40" s="6" t="n"/>
      <c r="J40" s="6" t="n"/>
      <c r="K40" s="6" t="n"/>
      <c r="L40" s="6" t="n"/>
      <c r="M40" s="7">
        <f>F40*Settings!$B$4+G40*Settings!$B$5+H40*Settings!$B$6+I40*Settings!$B$7+J40*Settings!$B$8+K40*Settings!$B$9+L40*Settings!$B$10</f>
        <v/>
      </c>
      <c r="N40" s="8">
        <f>M40-INDEX(Settings!$G$4:$G$9,MATCH($E40,Settings!$F$4:$F$9,0))</f>
        <v/>
      </c>
      <c r="O40" s="7">
        <f>N40*INDEX(Settings!$H$4:$H$9,MATCH($E40,Settings!$F$4:$F$9,0))</f>
        <v/>
      </c>
      <c r="P40" s="3" t="inlineStr">
        <is>
          <t>HIGH</t>
        </is>
      </c>
      <c r="Q40" s="5" t="inlineStr"/>
    </row>
    <row r="41">
      <c r="A41" s="3" t="n">
        <v>39</v>
      </c>
      <c r="B41" s="10" t="inlineStr">
        <is>
          <t>WR10</t>
        </is>
      </c>
      <c r="C41" s="5" t="inlineStr">
        <is>
          <t>George Pickens</t>
        </is>
      </c>
      <c r="D41" s="3" t="inlineStr">
        <is>
          <t>DAL</t>
        </is>
      </c>
      <c r="E41" s="10" t="inlineStr">
        <is>
          <t>WR</t>
        </is>
      </c>
      <c r="F41" s="6" t="n"/>
      <c r="G41" s="6" t="n"/>
      <c r="H41" s="6" t="n">
        <v>7.6</v>
      </c>
      <c r="I41" s="6" t="n"/>
      <c r="J41" s="6" t="n"/>
      <c r="K41" s="6" t="n"/>
      <c r="L41" s="6" t="n"/>
      <c r="M41" s="7">
        <f>F41*Settings!$B$4+G41*Settings!$B$5+H41*Settings!$B$6+I41*Settings!$B$7+J41*Settings!$B$8+K41*Settings!$B$9+L41*Settings!$B$10</f>
        <v/>
      </c>
      <c r="N41" s="8">
        <f>M41-INDEX(Settings!$G$4:$G$9,MATCH($E41,Settings!$F$4:$F$9,0))</f>
        <v/>
      </c>
      <c r="O41" s="7">
        <f>N41*INDEX(Settings!$H$4:$H$9,MATCH($E41,Settings!$F$4:$F$9,0))</f>
        <v/>
      </c>
      <c r="P41" s="3" t="inlineStr">
        <is>
          <t>HIGH</t>
        </is>
      </c>
      <c r="Q41" s="5" t="inlineStr"/>
    </row>
    <row r="42">
      <c r="A42" s="3" t="n">
        <v>40</v>
      </c>
      <c r="B42" s="9" t="inlineStr">
        <is>
          <t>RB14</t>
        </is>
      </c>
      <c r="C42" s="5" t="inlineStr">
        <is>
          <t>Ashton Jeanty</t>
        </is>
      </c>
      <c r="D42" s="3" t="inlineStr">
        <is>
          <t>LV</t>
        </is>
      </c>
      <c r="E42" s="9" t="inlineStr">
        <is>
          <t>RB</t>
        </is>
      </c>
      <c r="F42" s="6" t="n"/>
      <c r="G42" s="6" t="n">
        <v>7</v>
      </c>
      <c r="H42" s="6" t="n">
        <v>2</v>
      </c>
      <c r="I42" s="6" t="n"/>
      <c r="J42" s="6" t="n"/>
      <c r="K42" s="6" t="n"/>
      <c r="L42" s="6" t="n"/>
      <c r="M42" s="7">
        <f>F42*Settings!$B$4+G42*Settings!$B$5+H42*Settings!$B$6+I42*Settings!$B$7+J42*Settings!$B$8+K42*Settings!$B$9+L42*Settings!$B$10</f>
        <v/>
      </c>
      <c r="N42" s="8">
        <f>M42-INDEX(Settings!$G$4:$G$9,MATCH($E42,Settings!$F$4:$F$9,0))</f>
        <v/>
      </c>
      <c r="O42" s="7">
        <f>N42*INDEX(Settings!$H$4:$H$9,MATCH($E42,Settings!$F$4:$F$9,0))</f>
        <v/>
      </c>
      <c r="P42" s="3" t="inlineStr">
        <is>
          <t>HIGH</t>
        </is>
      </c>
      <c r="Q42" s="5" t="inlineStr">
        <is>
          <t>Goal-line yes</t>
        </is>
      </c>
    </row>
    <row r="43">
      <c r="A43" s="3" t="n">
        <v>41</v>
      </c>
      <c r="B43" s="9" t="inlineStr">
        <is>
          <t>RB15</t>
        </is>
      </c>
      <c r="C43" s="5" t="inlineStr">
        <is>
          <t>De'Von Achane</t>
        </is>
      </c>
      <c r="D43" s="3" t="inlineStr">
        <is>
          <t>MIA</t>
        </is>
      </c>
      <c r="E43" s="9" t="inlineStr">
        <is>
          <t>RB</t>
        </is>
      </c>
      <c r="F43" s="6" t="n"/>
      <c r="G43" s="6" t="n">
        <v>5.7</v>
      </c>
      <c r="H43" s="6" t="n">
        <v>3.3</v>
      </c>
      <c r="I43" s="6" t="n"/>
      <c r="J43" s="6" t="n"/>
      <c r="K43" s="6" t="n"/>
      <c r="L43" s="6" t="n"/>
      <c r="M43" s="7">
        <f>F43*Settings!$B$4+G43*Settings!$B$5+H43*Settings!$B$6+I43*Settings!$B$7+J43*Settings!$B$8+K43*Settings!$B$9+L43*Settings!$B$10</f>
        <v/>
      </c>
      <c r="N43" s="8">
        <f>M43-INDEX(Settings!$G$4:$G$9,MATCH($E43,Settings!$F$4:$F$9,0))</f>
        <v/>
      </c>
      <c r="O43" s="7">
        <f>N43*INDEX(Settings!$H$4:$H$9,MATCH($E43,Settings!$F$4:$F$9,0))</f>
        <v/>
      </c>
      <c r="P43" s="3" t="inlineStr">
        <is>
          <t>HIGH</t>
        </is>
      </c>
      <c r="Q43" s="5" t="inlineStr">
        <is>
          <t>Not the goal-line back</t>
        </is>
      </c>
    </row>
    <row r="44">
      <c r="A44" s="3" t="n">
        <v>42</v>
      </c>
      <c r="B44" s="11" t="inlineStr">
        <is>
          <t>K5</t>
        </is>
      </c>
      <c r="C44" s="5" t="inlineStr">
        <is>
          <t>Jake Bates</t>
        </is>
      </c>
      <c r="D44" s="3" t="inlineStr">
        <is>
          <t>DET</t>
        </is>
      </c>
      <c r="E44" s="11" t="inlineStr">
        <is>
          <t>K</t>
        </is>
      </c>
      <c r="F44" s="6" t="n"/>
      <c r="G44" s="6" t="n"/>
      <c r="H44" s="6" t="n"/>
      <c r="I44" s="6" t="n">
        <v>31</v>
      </c>
      <c r="J44" s="6" t="n">
        <v>53</v>
      </c>
      <c r="K44" s="6" t="n"/>
      <c r="L44" s="6" t="n"/>
      <c r="M44" s="7">
        <f>F44*Settings!$B$4+G44*Settings!$B$5+H44*Settings!$B$6+I44*Settings!$B$7+J44*Settings!$B$8+K44*Settings!$B$9+L44*Settings!$B$10</f>
        <v/>
      </c>
      <c r="N44" s="8">
        <f>M44-INDEX(Settings!$G$4:$G$9,MATCH($E44,Settings!$F$4:$F$9,0))</f>
        <v/>
      </c>
      <c r="O44" s="7">
        <f>N44*INDEX(Settings!$H$4:$H$9,MATCH($E44,Settings!$F$4:$F$9,0))</f>
        <v/>
      </c>
      <c r="P44" s="3" t="inlineStr">
        <is>
          <t>HIGH</t>
        </is>
      </c>
      <c r="Q44" s="5" t="inlineStr">
        <is>
          <t>XP-heavy; TD offense caps him</t>
        </is>
      </c>
    </row>
    <row r="45">
      <c r="A45" s="3" t="n">
        <v>43</v>
      </c>
      <c r="B45" s="9" t="inlineStr">
        <is>
          <t>RB16</t>
        </is>
      </c>
      <c r="C45" s="5" t="inlineStr">
        <is>
          <t>Jeremiyah Love</t>
        </is>
      </c>
      <c r="D45" s="3" t="inlineStr">
        <is>
          <t>ARI</t>
        </is>
      </c>
      <c r="E45" s="9" t="inlineStr">
        <is>
          <t>RB</t>
        </is>
      </c>
      <c r="F45" s="6" t="n"/>
      <c r="G45" s="6" t="n">
        <v>6.8</v>
      </c>
      <c r="H45" s="6" t="n">
        <v>2.1</v>
      </c>
      <c r="I45" s="6" t="n"/>
      <c r="J45" s="6" t="n"/>
      <c r="K45" s="6" t="n"/>
      <c r="L45" s="6" t="n"/>
      <c r="M45" s="7">
        <f>F45*Settings!$B$4+G45*Settings!$B$5+H45*Settings!$B$6+I45*Settings!$B$7+J45*Settings!$B$8+K45*Settings!$B$9+L45*Settings!$B$10</f>
        <v/>
      </c>
      <c r="N45" s="8">
        <f>M45-INDEX(Settings!$G$4:$G$9,MATCH($E45,Settings!$F$4:$F$9,0))</f>
        <v/>
      </c>
      <c r="O45" s="7">
        <f>N45*INDEX(Settings!$H$4:$H$9,MATCH($E45,Settings!$F$4:$F$9,0))</f>
        <v/>
      </c>
      <c r="P45" s="3" t="inlineStr">
        <is>
          <t>HIGH</t>
        </is>
      </c>
      <c r="Q45" s="5" t="inlineStr">
        <is>
          <t>Rookie; opened camp as RB2 behind Allgeier</t>
        </is>
      </c>
    </row>
    <row r="46">
      <c r="A46" s="3" t="n">
        <v>44</v>
      </c>
      <c r="B46" s="4" t="inlineStr">
        <is>
          <t>QB8</t>
        </is>
      </c>
      <c r="C46" s="5" t="inlineStr">
        <is>
          <t>Jaxson Dart</t>
        </is>
      </c>
      <c r="D46" s="3" t="inlineStr">
        <is>
          <t>NYG</t>
        </is>
      </c>
      <c r="E46" s="4" t="inlineStr">
        <is>
          <t>QB</t>
        </is>
      </c>
      <c r="F46" s="6" t="n">
        <v>22</v>
      </c>
      <c r="G46" s="6" t="n">
        <v>6</v>
      </c>
      <c r="H46" s="6" t="n"/>
      <c r="I46" s="6" t="n"/>
      <c r="J46" s="6" t="n"/>
      <c r="K46" s="6" t="n"/>
      <c r="L46" s="6" t="n"/>
      <c r="M46" s="7">
        <f>F46*Settings!$B$4+G46*Settings!$B$5+H46*Settings!$B$6+I46*Settings!$B$7+J46*Settings!$B$8+K46*Settings!$B$9+L46*Settings!$B$10</f>
        <v/>
      </c>
      <c r="N46" s="8">
        <f>M46-INDEX(Settings!$G$4:$G$9,MATCH($E46,Settings!$F$4:$F$9,0))</f>
        <v/>
      </c>
      <c r="O46" s="7">
        <f>N46*INDEX(Settings!$H$4:$H$9,MATCH($E46,Settings!$F$4:$F$9,0))</f>
        <v/>
      </c>
      <c r="P46" s="3" t="inlineStr">
        <is>
          <t>HIGH</t>
        </is>
      </c>
      <c r="Q46" s="5" t="inlineStr">
        <is>
          <t>BIGGEST ADP ARBITRAGE. But new HC Harbaugh may curb rushing</t>
        </is>
      </c>
    </row>
    <row r="47">
      <c r="A47" s="3" t="n">
        <v>45</v>
      </c>
      <c r="B47" s="4" t="inlineStr">
        <is>
          <t>QB9</t>
        </is>
      </c>
      <c r="C47" s="5" t="inlineStr">
        <is>
          <t>Brock Purdy</t>
        </is>
      </c>
      <c r="D47" s="3" t="inlineStr">
        <is>
          <t>SF</t>
        </is>
      </c>
      <c r="E47" s="4" t="inlineStr">
        <is>
          <t>QB</t>
        </is>
      </c>
      <c r="F47" s="6" t="n">
        <v>27</v>
      </c>
      <c r="G47" s="6" t="n">
        <v>3.5</v>
      </c>
      <c r="H47" s="6" t="n"/>
      <c r="I47" s="6" t="n"/>
      <c r="J47" s="6" t="n"/>
      <c r="K47" s="6" t="n"/>
      <c r="L47" s="6" t="n"/>
      <c r="M47" s="7">
        <f>F47*Settings!$B$4+G47*Settings!$B$5+H47*Settings!$B$6+I47*Settings!$B$7+J47*Settings!$B$8+K47*Settings!$B$9+L47*Settings!$B$10</f>
        <v/>
      </c>
      <c r="N47" s="8">
        <f>M47-INDEX(Settings!$G$4:$G$9,MATCH($E47,Settings!$F$4:$F$9,0))</f>
        <v/>
      </c>
      <c r="O47" s="7">
        <f>N47*INDEX(Settings!$H$4:$H$9,MATCH($E47,Settings!$F$4:$F$9,0))</f>
        <v/>
      </c>
      <c r="P47" s="3" t="inlineStr">
        <is>
          <t>HIGH</t>
        </is>
      </c>
      <c r="Q47" s="5" t="inlineStr"/>
    </row>
    <row r="48">
      <c r="A48" s="3" t="n">
        <v>46</v>
      </c>
      <c r="B48" s="12" t="inlineStr">
        <is>
          <t>TE6</t>
        </is>
      </c>
      <c r="C48" s="5" t="inlineStr">
        <is>
          <t>Jake Ferguson</t>
        </is>
      </c>
      <c r="D48" s="3" t="inlineStr">
        <is>
          <t>DAL</t>
        </is>
      </c>
      <c r="E48" s="12" t="inlineStr">
        <is>
          <t>TE</t>
        </is>
      </c>
      <c r="F48" s="6" t="n"/>
      <c r="G48" s="6" t="n"/>
      <c r="H48" s="6" t="n">
        <v>5.5</v>
      </c>
      <c r="I48" s="6" t="n"/>
      <c r="J48" s="6" t="n"/>
      <c r="K48" s="6" t="n"/>
      <c r="L48" s="6" t="n"/>
      <c r="M48" s="7">
        <f>F48*Settings!$B$4+G48*Settings!$B$5+H48*Settings!$B$6+I48*Settings!$B$7+J48*Settings!$B$8+K48*Settings!$B$9+L48*Settings!$B$10</f>
        <v/>
      </c>
      <c r="N48" s="8">
        <f>M48-INDEX(Settings!$G$4:$G$9,MATCH($E48,Settings!$F$4:$F$9,0))</f>
        <v/>
      </c>
      <c r="O48" s="7">
        <f>N48*INDEX(Settings!$H$4:$H$9,MATCH($E48,Settings!$F$4:$F$9,0))</f>
        <v/>
      </c>
      <c r="P48" s="3" t="inlineStr">
        <is>
          <t>HIGH</t>
        </is>
      </c>
      <c r="Q48" s="5" t="inlineStr"/>
    </row>
    <row r="49">
      <c r="A49" s="3" t="n">
        <v>47</v>
      </c>
      <c r="B49" s="10" t="inlineStr">
        <is>
          <t>WR11</t>
        </is>
      </c>
      <c r="C49" s="5" t="inlineStr">
        <is>
          <t>Malik Nabers</t>
        </is>
      </c>
      <c r="D49" s="3" t="inlineStr">
        <is>
          <t>NYG</t>
        </is>
      </c>
      <c r="E49" s="10" t="inlineStr">
        <is>
          <t>WR</t>
        </is>
      </c>
      <c r="F49" s="6" t="n"/>
      <c r="G49" s="6" t="n">
        <v>0.1</v>
      </c>
      <c r="H49" s="6" t="n">
        <v>7.2</v>
      </c>
      <c r="I49" s="6" t="n"/>
      <c r="J49" s="6" t="n"/>
      <c r="K49" s="6" t="n"/>
      <c r="L49" s="6" t="n"/>
      <c r="M49" s="7">
        <f>F49*Settings!$B$4+G49*Settings!$B$5+H49*Settings!$B$6+I49*Settings!$B$7+J49*Settings!$B$8+K49*Settings!$B$9+L49*Settings!$B$10</f>
        <v/>
      </c>
      <c r="N49" s="8">
        <f>M49-INDEX(Settings!$G$4:$G$9,MATCH($E49,Settings!$F$4:$F$9,0))</f>
        <v/>
      </c>
      <c r="O49" s="7">
        <f>N49*INDEX(Settings!$H$4:$H$9,MATCH($E49,Settings!$F$4:$F$9,0))</f>
        <v/>
      </c>
      <c r="P49" s="3" t="inlineStr">
        <is>
          <t>HIGH</t>
        </is>
      </c>
      <c r="Q49" s="5" t="inlineStr"/>
    </row>
    <row r="50">
      <c r="A50" s="3" t="n">
        <v>48</v>
      </c>
      <c r="B50" s="10" t="inlineStr">
        <is>
          <t>WR12</t>
        </is>
      </c>
      <c r="C50" s="5" t="inlineStr">
        <is>
          <t>Emeka Egbuka</t>
        </is>
      </c>
      <c r="D50" s="3" t="inlineStr">
        <is>
          <t>TB</t>
        </is>
      </c>
      <c r="E50" s="10" t="inlineStr">
        <is>
          <t>WR</t>
        </is>
      </c>
      <c r="F50" s="6" t="n"/>
      <c r="G50" s="6" t="n">
        <v>0.1</v>
      </c>
      <c r="H50" s="6" t="n">
        <v>7.2</v>
      </c>
      <c r="I50" s="6" t="n"/>
      <c r="J50" s="6" t="n"/>
      <c r="K50" s="6" t="n"/>
      <c r="L50" s="6" t="n"/>
      <c r="M50" s="7">
        <f>F50*Settings!$B$4+G50*Settings!$B$5+H50*Settings!$B$6+I50*Settings!$B$7+J50*Settings!$B$8+K50*Settings!$B$9+L50*Settings!$B$10</f>
        <v/>
      </c>
      <c r="N50" s="8">
        <f>M50-INDEX(Settings!$G$4:$G$9,MATCH($E50,Settings!$F$4:$F$9,0))</f>
        <v/>
      </c>
      <c r="O50" s="7">
        <f>N50*INDEX(Settings!$H$4:$H$9,MATCH($E50,Settings!$F$4:$F$9,0))</f>
        <v/>
      </c>
      <c r="P50" s="3" t="inlineStr">
        <is>
          <t>HIGH</t>
        </is>
      </c>
      <c r="Q50" s="5" t="inlineStr"/>
    </row>
    <row r="51">
      <c r="A51" s="3" t="n">
        <v>49</v>
      </c>
      <c r="B51" s="10" t="inlineStr">
        <is>
          <t>WR13</t>
        </is>
      </c>
      <c r="C51" s="5" t="inlineStr">
        <is>
          <t>Courtland Sutton</t>
        </is>
      </c>
      <c r="D51" s="3" t="inlineStr">
        <is>
          <t>DEN</t>
        </is>
      </c>
      <c r="E51" s="10" t="inlineStr">
        <is>
          <t>WR</t>
        </is>
      </c>
      <c r="F51" s="6" t="n"/>
      <c r="G51" s="6" t="n"/>
      <c r="H51" s="6" t="n">
        <v>7.3</v>
      </c>
      <c r="I51" s="6" t="n"/>
      <c r="J51" s="6" t="n"/>
      <c r="K51" s="6" t="n"/>
      <c r="L51" s="6" t="n"/>
      <c r="M51" s="7">
        <f>F51*Settings!$B$4+G51*Settings!$B$5+H51*Settings!$B$6+I51*Settings!$B$7+J51*Settings!$B$8+K51*Settings!$B$9+L51*Settings!$B$10</f>
        <v/>
      </c>
      <c r="N51" s="8">
        <f>M51-INDEX(Settings!$G$4:$G$9,MATCH($E51,Settings!$F$4:$F$9,0))</f>
        <v/>
      </c>
      <c r="O51" s="7">
        <f>N51*INDEX(Settings!$H$4:$H$9,MATCH($E51,Settings!$F$4:$F$9,0))</f>
        <v/>
      </c>
      <c r="P51" s="3" t="inlineStr">
        <is>
          <t>HIGH</t>
        </is>
      </c>
      <c r="Q51" s="5" t="inlineStr"/>
    </row>
    <row r="52">
      <c r="A52" s="3" t="n">
        <v>50</v>
      </c>
      <c r="B52" s="10" t="inlineStr">
        <is>
          <t>WR14</t>
        </is>
      </c>
      <c r="C52" s="5" t="inlineStr">
        <is>
          <t>Justin Jefferson</t>
        </is>
      </c>
      <c r="D52" s="3" t="inlineStr">
        <is>
          <t>MIN</t>
        </is>
      </c>
      <c r="E52" s="10" t="inlineStr">
        <is>
          <t>WR</t>
        </is>
      </c>
      <c r="F52" s="6" t="n"/>
      <c r="G52" s="6" t="n">
        <v>0.1</v>
      </c>
      <c r="H52" s="6" t="n">
        <v>7.2</v>
      </c>
      <c r="I52" s="6" t="n"/>
      <c r="J52" s="6" t="n"/>
      <c r="K52" s="6" t="n"/>
      <c r="L52" s="6" t="n"/>
      <c r="M52" s="7">
        <f>F52*Settings!$B$4+G52*Settings!$B$5+H52*Settings!$B$6+I52*Settings!$B$7+J52*Settings!$B$8+K52*Settings!$B$9+L52*Settings!$B$10</f>
        <v/>
      </c>
      <c r="N52" s="8">
        <f>M52-INDEX(Settings!$G$4:$G$9,MATCH($E52,Settings!$F$4:$F$9,0))</f>
        <v/>
      </c>
      <c r="O52" s="7">
        <f>N52*INDEX(Settings!$H$4:$H$9,MATCH($E52,Settings!$F$4:$F$9,0))</f>
        <v/>
      </c>
      <c r="P52" s="3" t="inlineStr">
        <is>
          <t>HIGH</t>
        </is>
      </c>
      <c r="Q52" s="5" t="inlineStr"/>
    </row>
    <row r="53">
      <c r="A53" s="3" t="n">
        <v>51</v>
      </c>
      <c r="B53" s="12" t="inlineStr">
        <is>
          <t>TE7</t>
        </is>
      </c>
      <c r="C53" s="5" t="inlineStr">
        <is>
          <t>Tyler Warren</t>
        </is>
      </c>
      <c r="D53" s="3" t="inlineStr">
        <is>
          <t>IND</t>
        </is>
      </c>
      <c r="E53" s="12" t="inlineStr">
        <is>
          <t>TE</t>
        </is>
      </c>
      <c r="F53" s="6" t="n"/>
      <c r="G53" s="6" t="n">
        <v>0.2</v>
      </c>
      <c r="H53" s="6" t="n">
        <v>5.2</v>
      </c>
      <c r="I53" s="6" t="n"/>
      <c r="J53" s="6" t="n"/>
      <c r="K53" s="6" t="n"/>
      <c r="L53" s="6" t="n"/>
      <c r="M53" s="7">
        <f>F53*Settings!$B$4+G53*Settings!$B$5+H53*Settings!$B$6+I53*Settings!$B$7+J53*Settings!$B$8+K53*Settings!$B$9+L53*Settings!$B$10</f>
        <v/>
      </c>
      <c r="N53" s="8">
        <f>M53-INDEX(Settings!$G$4:$G$9,MATCH($E53,Settings!$F$4:$F$9,0))</f>
        <v/>
      </c>
      <c r="O53" s="7">
        <f>N53*INDEX(Settings!$H$4:$H$9,MATCH($E53,Settings!$F$4:$F$9,0))</f>
        <v/>
      </c>
      <c r="P53" s="3" t="inlineStr">
        <is>
          <t>HIGH</t>
        </is>
      </c>
      <c r="Q53" s="5" t="inlineStr"/>
    </row>
    <row r="54">
      <c r="A54" s="3" t="n">
        <v>52</v>
      </c>
      <c r="B54" s="11" t="inlineStr">
        <is>
          <t>K6</t>
        </is>
      </c>
      <c r="C54" s="5" t="inlineStr">
        <is>
          <t>Cameron Dicker</t>
        </is>
      </c>
      <c r="D54" s="3" t="inlineStr">
        <is>
          <t>LAC</t>
        </is>
      </c>
      <c r="E54" s="11" t="inlineStr">
        <is>
          <t>K</t>
        </is>
      </c>
      <c r="F54" s="6" t="n"/>
      <c r="G54" s="6" t="n"/>
      <c r="H54" s="6" t="n"/>
      <c r="I54" s="6" t="n">
        <v>35</v>
      </c>
      <c r="J54" s="6" t="n">
        <v>38</v>
      </c>
      <c r="K54" s="6" t="n"/>
      <c r="L54" s="6" t="n"/>
      <c r="M54" s="7">
        <f>F54*Settings!$B$4+G54*Settings!$B$5+H54*Settings!$B$6+I54*Settings!$B$7+J54*Settings!$B$8+K54*Settings!$B$9+L54*Settings!$B$10</f>
        <v/>
      </c>
      <c r="N54" s="8">
        <f>M54-INDEX(Settings!$G$4:$G$9,MATCH($E54,Settings!$F$4:$F$9,0))</f>
        <v/>
      </c>
      <c r="O54" s="7">
        <f>N54*INDEX(Settings!$H$4:$H$9,MATCH($E54,Settings!$F$4:$F$9,0))</f>
        <v/>
      </c>
      <c r="P54" s="3" t="inlineStr">
        <is>
          <t>HIGH</t>
        </is>
      </c>
      <c r="Q54" s="5" t="inlineStr">
        <is>
          <t>92.7 pct in 2025; strong FG lean</t>
        </is>
      </c>
    </row>
    <row r="55">
      <c r="A55" s="3" t="n">
        <v>53</v>
      </c>
      <c r="B55" s="11" t="inlineStr">
        <is>
          <t>K7</t>
        </is>
      </c>
      <c r="C55" s="5" t="inlineStr">
        <is>
          <t>Cairo Santos</t>
        </is>
      </c>
      <c r="D55" s="3" t="inlineStr">
        <is>
          <t>CHI</t>
        </is>
      </c>
      <c r="E55" s="11" t="inlineStr">
        <is>
          <t>K</t>
        </is>
      </c>
      <c r="F55" s="6" t="n"/>
      <c r="G55" s="6" t="n"/>
      <c r="H55" s="6" t="n"/>
      <c r="I55" s="6" t="n">
        <v>32</v>
      </c>
      <c r="J55" s="6" t="n">
        <v>47</v>
      </c>
      <c r="K55" s="6" t="n"/>
      <c r="L55" s="6" t="n"/>
      <c r="M55" s="7">
        <f>F55*Settings!$B$4+G55*Settings!$B$5+H55*Settings!$B$6+I55*Settings!$B$7+J55*Settings!$B$8+K55*Settings!$B$9+L55*Settings!$B$10</f>
        <v/>
      </c>
      <c r="N55" s="8">
        <f>M55-INDEX(Settings!$G$4:$G$9,MATCH($E55,Settings!$F$4:$F$9,0))</f>
        <v/>
      </c>
      <c r="O55" s="7">
        <f>N55*INDEX(Settings!$H$4:$H$9,MATCH($E55,Settings!$F$4:$F$9,0))</f>
        <v/>
      </c>
      <c r="P55" s="3" t="inlineStr">
        <is>
          <t>HIGH</t>
        </is>
      </c>
      <c r="Q55" s="5" t="inlineStr">
        <is>
          <t>39 FGA in 2025</t>
        </is>
      </c>
    </row>
    <row r="56">
      <c r="A56" s="3" t="n">
        <v>54</v>
      </c>
      <c r="B56" s="9" t="inlineStr">
        <is>
          <t>RB17</t>
        </is>
      </c>
      <c r="C56" s="5" t="inlineStr">
        <is>
          <t>Breece Hall</t>
        </is>
      </c>
      <c r="D56" s="3" t="inlineStr">
        <is>
          <t>NYJ</t>
        </is>
      </c>
      <c r="E56" s="9" t="inlineStr">
        <is>
          <t>RB</t>
        </is>
      </c>
      <c r="F56" s="6" t="n"/>
      <c r="G56" s="6" t="n">
        <v>6.3</v>
      </c>
      <c r="H56" s="6" t="n">
        <v>2.4</v>
      </c>
      <c r="I56" s="6" t="n"/>
      <c r="J56" s="6" t="n"/>
      <c r="K56" s="6" t="n"/>
      <c r="L56" s="6" t="n"/>
      <c r="M56" s="7">
        <f>F56*Settings!$B$4+G56*Settings!$B$5+H56*Settings!$B$6+I56*Settings!$B$7+J56*Settings!$B$8+K56*Settings!$B$9+L56*Settings!$B$10</f>
        <v/>
      </c>
      <c r="N56" s="8">
        <f>M56-INDEX(Settings!$G$4:$G$9,MATCH($E56,Settings!$F$4:$F$9,0))</f>
        <v/>
      </c>
      <c r="O56" s="7">
        <f>N56*INDEX(Settings!$H$4:$H$9,MATCH($E56,Settings!$F$4:$F$9,0))</f>
        <v/>
      </c>
      <c r="P56" s="3" t="inlineStr">
        <is>
          <t>MEDIUM</t>
        </is>
      </c>
      <c r="Q56" s="5" t="inlineStr">
        <is>
          <t>Groin strain Aug 17; expected Week 1</t>
        </is>
      </c>
    </row>
    <row r="57">
      <c r="A57" s="3" t="n">
        <v>55</v>
      </c>
      <c r="B57" s="10" t="inlineStr">
        <is>
          <t>WR15</t>
        </is>
      </c>
      <c r="C57" s="5" t="inlineStr">
        <is>
          <t>Drake London</t>
        </is>
      </c>
      <c r="D57" s="3" t="inlineStr">
        <is>
          <t>ATL</t>
        </is>
      </c>
      <c r="E57" s="10" t="inlineStr">
        <is>
          <t>WR</t>
        </is>
      </c>
      <c r="F57" s="6" t="n"/>
      <c r="G57" s="6" t="n"/>
      <c r="H57" s="6" t="n">
        <v>7.2</v>
      </c>
      <c r="I57" s="6" t="n"/>
      <c r="J57" s="6" t="n"/>
      <c r="K57" s="6" t="n"/>
      <c r="L57" s="6" t="n"/>
      <c r="M57" s="7">
        <f>F57*Settings!$B$4+G57*Settings!$B$5+H57*Settings!$B$6+I57*Settings!$B$7+J57*Settings!$B$8+K57*Settings!$B$9+L57*Settings!$B$10</f>
        <v/>
      </c>
      <c r="N57" s="8">
        <f>M57-INDEX(Settings!$G$4:$G$9,MATCH($E57,Settings!$F$4:$F$9,0))</f>
        <v/>
      </c>
      <c r="O57" s="7">
        <f>N57*INDEX(Settings!$H$4:$H$9,MATCH($E57,Settings!$F$4:$F$9,0))</f>
        <v/>
      </c>
      <c r="P57" s="3" t="inlineStr">
        <is>
          <t>HIGH</t>
        </is>
      </c>
      <c r="Q57" s="5" t="inlineStr"/>
    </row>
    <row r="58">
      <c r="A58" s="3" t="n">
        <v>56</v>
      </c>
      <c r="B58" s="12" t="inlineStr">
        <is>
          <t>TE8</t>
        </is>
      </c>
      <c r="C58" s="5" t="inlineStr">
        <is>
          <t>George Kittle</t>
        </is>
      </c>
      <c r="D58" s="3" t="inlineStr">
        <is>
          <t>SF</t>
        </is>
      </c>
      <c r="E58" s="12" t="inlineStr">
        <is>
          <t>TE</t>
        </is>
      </c>
      <c r="F58" s="6" t="n"/>
      <c r="G58" s="6" t="n"/>
      <c r="H58" s="6" t="n">
        <v>5.3</v>
      </c>
      <c r="I58" s="6" t="n"/>
      <c r="J58" s="6" t="n"/>
      <c r="K58" s="6" t="n"/>
      <c r="L58" s="6" t="n"/>
      <c r="M58" s="7">
        <f>F58*Settings!$B$4+G58*Settings!$B$5+H58*Settings!$B$6+I58*Settings!$B$7+J58*Settings!$B$8+K58*Settings!$B$9+L58*Settings!$B$10</f>
        <v/>
      </c>
      <c r="N58" s="8">
        <f>M58-INDEX(Settings!$G$4:$G$9,MATCH($E58,Settings!$F$4:$F$9,0))</f>
        <v/>
      </c>
      <c r="O58" s="7">
        <f>N58*INDEX(Settings!$H$4:$H$9,MATCH($E58,Settings!$F$4:$F$9,0))</f>
        <v/>
      </c>
      <c r="P58" s="3" t="inlineStr">
        <is>
          <t>HIGH</t>
        </is>
      </c>
      <c r="Q58" s="5" t="inlineStr"/>
    </row>
    <row r="59">
      <c r="A59" s="3" t="n">
        <v>57</v>
      </c>
      <c r="B59" s="10" t="inlineStr">
        <is>
          <t>WR16</t>
        </is>
      </c>
      <c r="C59" s="5" t="inlineStr">
        <is>
          <t>Christian Watson</t>
        </is>
      </c>
      <c r="D59" s="3" t="inlineStr">
        <is>
          <t>GB</t>
        </is>
      </c>
      <c r="E59" s="10" t="inlineStr">
        <is>
          <t>WR</t>
        </is>
      </c>
      <c r="F59" s="6" t="n"/>
      <c r="G59" s="6" t="n">
        <v>0.1</v>
      </c>
      <c r="H59" s="6" t="n">
        <v>7</v>
      </c>
      <c r="I59" s="6" t="n"/>
      <c r="J59" s="6" t="n"/>
      <c r="K59" s="6" t="n"/>
      <c r="L59" s="6" t="n"/>
      <c r="M59" s="7">
        <f>F59*Settings!$B$4+G59*Settings!$B$5+H59*Settings!$B$6+I59*Settings!$B$7+J59*Settings!$B$8+K59*Settings!$B$9+L59*Settings!$B$10</f>
        <v/>
      </c>
      <c r="N59" s="8">
        <f>M59-INDEX(Settings!$G$4:$G$9,MATCH($E59,Settings!$F$4:$F$9,0))</f>
        <v/>
      </c>
      <c r="O59" s="7">
        <f>N59*INDEX(Settings!$H$4:$H$9,MATCH($E59,Settings!$F$4:$F$9,0))</f>
        <v/>
      </c>
      <c r="P59" s="3" t="inlineStr">
        <is>
          <t>HIGH</t>
        </is>
      </c>
      <c r="Q59" s="5" t="inlineStr"/>
    </row>
    <row r="60">
      <c r="A60" s="3" t="n">
        <v>58</v>
      </c>
      <c r="B60" s="11" t="inlineStr">
        <is>
          <t>K8</t>
        </is>
      </c>
      <c r="C60" s="5" t="inlineStr">
        <is>
          <t>Harrison Mevis</t>
        </is>
      </c>
      <c r="D60" s="3" t="inlineStr">
        <is>
          <t>LAR</t>
        </is>
      </c>
      <c r="E60" s="11" t="inlineStr">
        <is>
          <t>K</t>
        </is>
      </c>
      <c r="F60" s="6" t="n"/>
      <c r="G60" s="6" t="n"/>
      <c r="H60" s="6" t="n"/>
      <c r="I60" s="6" t="n">
        <v>29</v>
      </c>
      <c r="J60" s="6" t="n">
        <v>55</v>
      </c>
      <c r="K60" s="6" t="n"/>
      <c r="L60" s="6" t="n"/>
      <c r="M60" s="7">
        <f>F60*Settings!$B$4+G60*Settings!$B$5+H60*Settings!$B$6+I60*Settings!$B$7+J60*Settings!$B$8+K60*Settings!$B$9+L60*Settings!$B$10</f>
        <v/>
      </c>
      <c r="N60" s="8">
        <f>M60-INDEX(Settings!$G$4:$G$9,MATCH($E60,Settings!$F$4:$F$9,0))</f>
        <v/>
      </c>
      <c r="O60" s="7">
        <f>N60*INDEX(Settings!$H$4:$H$9,MATCH($E60,Settings!$F$4:$F$9,0))</f>
        <v/>
      </c>
      <c r="P60" s="3" t="inlineStr">
        <is>
          <t>MEDIUM</t>
        </is>
      </c>
      <c r="Q60" s="5" t="inlineStr">
        <is>
          <t>Most TD-heavy K; LAR led NFL RZ trips</t>
        </is>
      </c>
    </row>
    <row r="61">
      <c r="A61" s="3" t="n">
        <v>59</v>
      </c>
      <c r="B61" s="9" t="inlineStr">
        <is>
          <t>RB18</t>
        </is>
      </c>
      <c r="C61" s="5" t="inlineStr">
        <is>
          <t>Jadarian Price</t>
        </is>
      </c>
      <c r="D61" s="3" t="inlineStr">
        <is>
          <t>SEA</t>
        </is>
      </c>
      <c r="E61" s="9" t="inlineStr">
        <is>
          <t>RB</t>
        </is>
      </c>
      <c r="F61" s="6" t="n"/>
      <c r="G61" s="6" t="n">
        <v>7.5</v>
      </c>
      <c r="H61" s="6" t="n">
        <v>1.1</v>
      </c>
      <c r="I61" s="6" t="n"/>
      <c r="J61" s="6" t="n"/>
      <c r="K61" s="6" t="n"/>
      <c r="L61" s="6" t="n"/>
      <c r="M61" s="7">
        <f>F61*Settings!$B$4+G61*Settings!$B$5+H61*Settings!$B$6+I61*Settings!$B$7+J61*Settings!$B$8+K61*Settings!$B$9+L61*Settings!$B$10</f>
        <v/>
      </c>
      <c r="N61" s="8">
        <f>M61-INDEX(Settings!$G$4:$G$9,MATCH($E61,Settings!$F$4:$F$9,0))</f>
        <v/>
      </c>
      <c r="O61" s="7">
        <f>N61*INDEX(Settings!$H$4:$H$9,MATCH($E61,Settings!$F$4:$F$9,0))</f>
        <v/>
      </c>
      <c r="P61" s="3" t="inlineStr">
        <is>
          <t>HIGH</t>
        </is>
      </c>
      <c r="Q61" s="5" t="inlineStr">
        <is>
          <t>Rookie; leads while Charbonnet rehabs</t>
        </is>
      </c>
    </row>
    <row r="62">
      <c r="A62" s="3" t="n">
        <v>60</v>
      </c>
      <c r="B62" s="9" t="inlineStr">
        <is>
          <t>RB19</t>
        </is>
      </c>
      <c r="C62" s="5" t="inlineStr">
        <is>
          <t>Cam Skattebo</t>
        </is>
      </c>
      <c r="D62" s="3" t="inlineStr">
        <is>
          <t>NYG</t>
        </is>
      </c>
      <c r="E62" s="9" t="inlineStr">
        <is>
          <t>RB</t>
        </is>
      </c>
      <c r="F62" s="6" t="n"/>
      <c r="G62" s="6" t="n">
        <v>7.4</v>
      </c>
      <c r="H62" s="6" t="n">
        <v>1.2</v>
      </c>
      <c r="I62" s="6" t="n"/>
      <c r="J62" s="6" t="n"/>
      <c r="K62" s="6" t="n"/>
      <c r="L62" s="6" t="n"/>
      <c r="M62" s="7">
        <f>F62*Settings!$B$4+G62*Settings!$B$5+H62*Settings!$B$6+I62*Settings!$B$7+J62*Settings!$B$8+K62*Settings!$B$9+L62*Settings!$B$10</f>
        <v/>
      </c>
      <c r="N62" s="8">
        <f>M62-INDEX(Settings!$G$4:$G$9,MATCH($E62,Settings!$F$4:$F$9,0))</f>
        <v/>
      </c>
      <c r="O62" s="7">
        <f>N62*INDEX(Settings!$H$4:$H$9,MATCH($E62,Settings!$F$4:$F$9,0))</f>
        <v/>
      </c>
      <c r="P62" s="3" t="inlineStr">
        <is>
          <t>HIGH</t>
        </is>
      </c>
      <c r="Q62" s="5" t="inlineStr">
        <is>
          <t>Goal-line yes</t>
        </is>
      </c>
    </row>
    <row r="63">
      <c r="A63" s="3" t="n">
        <v>61</v>
      </c>
      <c r="B63" s="9" t="inlineStr">
        <is>
          <t>RB20</t>
        </is>
      </c>
      <c r="C63" s="5" t="inlineStr">
        <is>
          <t>D'Andre Swift</t>
        </is>
      </c>
      <c r="D63" s="3" t="inlineStr">
        <is>
          <t>CHI</t>
        </is>
      </c>
      <c r="E63" s="9" t="inlineStr">
        <is>
          <t>RB</t>
        </is>
      </c>
      <c r="F63" s="6" t="n"/>
      <c r="G63" s="6" t="n">
        <v>7.5</v>
      </c>
      <c r="H63" s="6" t="n">
        <v>1.1</v>
      </c>
      <c r="I63" s="6" t="n"/>
      <c r="J63" s="6" t="n"/>
      <c r="K63" s="6" t="n"/>
      <c r="L63" s="6" t="n"/>
      <c r="M63" s="7">
        <f>F63*Settings!$B$4+G63*Settings!$B$5+H63*Settings!$B$6+I63*Settings!$B$7+J63*Settings!$B$8+K63*Settings!$B$9+L63*Settings!$B$10</f>
        <v/>
      </c>
      <c r="N63" s="8">
        <f>M63-INDEX(Settings!$G$4:$G$9,MATCH($E63,Settings!$F$4:$F$9,0))</f>
        <v/>
      </c>
      <c r="O63" s="7">
        <f>N63*INDEX(Settings!$H$4:$H$9,MATCH($E63,Settings!$F$4:$F$9,0))</f>
        <v/>
      </c>
      <c r="P63" s="3" t="inlineStr">
        <is>
          <t>HIGH</t>
        </is>
      </c>
      <c r="Q63" s="5" t="inlineStr"/>
    </row>
    <row r="64">
      <c r="A64" s="3" t="n">
        <v>62</v>
      </c>
      <c r="B64" s="4" t="inlineStr">
        <is>
          <t>QB10</t>
        </is>
      </c>
      <c r="C64" s="5" t="inlineStr">
        <is>
          <t>Lamar Jackson</t>
        </is>
      </c>
      <c r="D64" s="3" t="inlineStr">
        <is>
          <t>BAL</t>
        </is>
      </c>
      <c r="E64" s="4" t="inlineStr">
        <is>
          <t>QB</t>
        </is>
      </c>
      <c r="F64" s="6" t="n">
        <v>26.5</v>
      </c>
      <c r="G64" s="6" t="n">
        <v>3.5</v>
      </c>
      <c r="H64" s="6" t="n"/>
      <c r="I64" s="6" t="n"/>
      <c r="J64" s="6" t="n"/>
      <c r="K64" s="6" t="n"/>
      <c r="L64" s="6" t="n"/>
      <c r="M64" s="7">
        <f>F64*Settings!$B$4+G64*Settings!$B$5+H64*Settings!$B$6+I64*Settings!$B$7+J64*Settings!$B$8+K64*Settings!$B$9+L64*Settings!$B$10</f>
        <v/>
      </c>
      <c r="N64" s="8">
        <f>M64-INDEX(Settings!$G$4:$G$9,MATCH($E64,Settings!$F$4:$F$9,0))</f>
        <v/>
      </c>
      <c r="O64" s="7">
        <f>N64*INDEX(Settings!$H$4:$H$9,MATCH($E64,Settings!$F$4:$F$9,0))</f>
        <v/>
      </c>
      <c r="P64" s="3" t="inlineStr">
        <is>
          <t>HIGH</t>
        </is>
      </c>
      <c r="Q64" s="5" t="inlineStr">
        <is>
          <t>BAL 11.5 win total</t>
        </is>
      </c>
    </row>
    <row r="65">
      <c r="A65" s="3" t="n">
        <v>63</v>
      </c>
      <c r="B65" s="4" t="inlineStr">
        <is>
          <t>QB11</t>
        </is>
      </c>
      <c r="C65" s="5" t="inlineStr">
        <is>
          <t>Jayden Daniels</t>
        </is>
      </c>
      <c r="D65" s="3" t="inlineStr">
        <is>
          <t>WAS</t>
        </is>
      </c>
      <c r="E65" s="4" t="inlineStr">
        <is>
          <t>QB</t>
        </is>
      </c>
      <c r="F65" s="6" t="n">
        <v>23.5</v>
      </c>
      <c r="G65" s="6" t="n">
        <v>5</v>
      </c>
      <c r="H65" s="6" t="n"/>
      <c r="I65" s="6" t="n"/>
      <c r="J65" s="6" t="n"/>
      <c r="K65" s="6" t="n"/>
      <c r="L65" s="6" t="n"/>
      <c r="M65" s="7">
        <f>F65*Settings!$B$4+G65*Settings!$B$5+H65*Settings!$B$6+I65*Settings!$B$7+J65*Settings!$B$8+K65*Settings!$B$9+L65*Settings!$B$10</f>
        <v/>
      </c>
      <c r="N65" s="8">
        <f>M65-INDEX(Settings!$G$4:$G$9,MATCH($E65,Settings!$F$4:$F$9,0))</f>
        <v/>
      </c>
      <c r="O65" s="7">
        <f>N65*INDEX(Settings!$H$4:$H$9,MATCH($E65,Settings!$F$4:$F$9,0))</f>
        <v/>
      </c>
      <c r="P65" s="3" t="inlineStr">
        <is>
          <t>HIGH</t>
        </is>
      </c>
      <c r="Q65" s="5" t="inlineStr"/>
    </row>
    <row r="66">
      <c r="A66" s="3" t="n">
        <v>64</v>
      </c>
      <c r="B66" s="4" t="inlineStr">
        <is>
          <t>QB12</t>
        </is>
      </c>
      <c r="C66" s="5" t="inlineStr">
        <is>
          <t>Bo Nix</t>
        </is>
      </c>
      <c r="D66" s="3" t="inlineStr">
        <is>
          <t>DEN</t>
        </is>
      </c>
      <c r="E66" s="4" t="inlineStr">
        <is>
          <t>QB</t>
        </is>
      </c>
      <c r="F66" s="6" t="n">
        <v>26.5</v>
      </c>
      <c r="G66" s="6" t="n">
        <v>3.5</v>
      </c>
      <c r="H66" s="6" t="n"/>
      <c r="I66" s="6" t="n"/>
      <c r="J66" s="6" t="n"/>
      <c r="K66" s="6" t="n"/>
      <c r="L66" s="6" t="n"/>
      <c r="M66" s="7">
        <f>F66*Settings!$B$4+G66*Settings!$B$5+H66*Settings!$B$6+I66*Settings!$B$7+J66*Settings!$B$8+K66*Settings!$B$9+L66*Settings!$B$10</f>
        <v/>
      </c>
      <c r="N66" s="8">
        <f>M66-INDEX(Settings!$G$4:$G$9,MATCH($E66,Settings!$F$4:$F$9,0))</f>
        <v/>
      </c>
      <c r="O66" s="7">
        <f>N66*INDEX(Settings!$H$4:$H$9,MATCH($E66,Settings!$F$4:$F$9,0))</f>
        <v/>
      </c>
      <c r="P66" s="3" t="inlineStr">
        <is>
          <t>HIGH</t>
        </is>
      </c>
      <c r="Q66" s="5" t="inlineStr"/>
    </row>
    <row r="67">
      <c r="A67" s="3" t="n">
        <v>65</v>
      </c>
      <c r="B67" s="12" t="inlineStr">
        <is>
          <t>TE9</t>
        </is>
      </c>
      <c r="C67" s="5" t="inlineStr">
        <is>
          <t>Hunter Henry</t>
        </is>
      </c>
      <c r="D67" s="3" t="inlineStr">
        <is>
          <t>NE</t>
        </is>
      </c>
      <c r="E67" s="12" t="inlineStr">
        <is>
          <t>TE</t>
        </is>
      </c>
      <c r="F67" s="6" t="n"/>
      <c r="G67" s="6" t="n"/>
      <c r="H67" s="6" t="n">
        <v>5.2</v>
      </c>
      <c r="I67" s="6" t="n"/>
      <c r="J67" s="6" t="n"/>
      <c r="K67" s="6" t="n"/>
      <c r="L67" s="6" t="n"/>
      <c r="M67" s="7">
        <f>F67*Settings!$B$4+G67*Settings!$B$5+H67*Settings!$B$6+I67*Settings!$B$7+J67*Settings!$B$8+K67*Settings!$B$9+L67*Settings!$B$10</f>
        <v/>
      </c>
      <c r="N67" s="8">
        <f>M67-INDEX(Settings!$G$4:$G$9,MATCH($E67,Settings!$F$4:$F$9,0))</f>
        <v/>
      </c>
      <c r="O67" s="7">
        <f>N67*INDEX(Settings!$H$4:$H$9,MATCH($E67,Settings!$F$4:$F$9,0))</f>
        <v/>
      </c>
      <c r="P67" s="3" t="inlineStr">
        <is>
          <t>HIGH</t>
        </is>
      </c>
      <c r="Q67" s="5" t="inlineStr"/>
    </row>
    <row r="68">
      <c r="A68" s="3" t="n">
        <v>66</v>
      </c>
      <c r="B68" s="12" t="inlineStr">
        <is>
          <t>TE10</t>
        </is>
      </c>
      <c r="C68" s="5" t="inlineStr">
        <is>
          <t>Terrance Ferguson</t>
        </is>
      </c>
      <c r="D68" s="3" t="inlineStr">
        <is>
          <t>LAR</t>
        </is>
      </c>
      <c r="E68" s="12" t="inlineStr">
        <is>
          <t>TE</t>
        </is>
      </c>
      <c r="F68" s="6" t="n"/>
      <c r="G68" s="6" t="n"/>
      <c r="H68" s="6" t="n">
        <v>5.2</v>
      </c>
      <c r="I68" s="6" t="n"/>
      <c r="J68" s="6" t="n"/>
      <c r="K68" s="6" t="n"/>
      <c r="L68" s="6" t="n"/>
      <c r="M68" s="7">
        <f>F68*Settings!$B$4+G68*Settings!$B$5+H68*Settings!$B$6+I68*Settings!$B$7+J68*Settings!$B$8+K68*Settings!$B$9+L68*Settings!$B$10</f>
        <v/>
      </c>
      <c r="N68" s="8">
        <f>M68-INDEX(Settings!$G$4:$G$9,MATCH($E68,Settings!$F$4:$F$9,0))</f>
        <v/>
      </c>
      <c r="O68" s="7">
        <f>N68*INDEX(Settings!$H$4:$H$9,MATCH($E68,Settings!$F$4:$F$9,0))</f>
        <v/>
      </c>
      <c r="P68" s="3" t="inlineStr">
        <is>
          <t>HIGH</t>
        </is>
      </c>
      <c r="Q68" s="5" t="inlineStr"/>
    </row>
    <row r="69">
      <c r="A69" s="3" t="n">
        <v>67</v>
      </c>
      <c r="B69" s="12" t="inlineStr">
        <is>
          <t>TE11</t>
        </is>
      </c>
      <c r="C69" s="5" t="inlineStr">
        <is>
          <t>Sam LaPorta</t>
        </is>
      </c>
      <c r="D69" s="3" t="inlineStr">
        <is>
          <t>DET</t>
        </is>
      </c>
      <c r="E69" s="12" t="inlineStr">
        <is>
          <t>TE</t>
        </is>
      </c>
      <c r="F69" s="6" t="n"/>
      <c r="G69" s="6" t="n"/>
      <c r="H69" s="6" t="n">
        <v>5.2</v>
      </c>
      <c r="I69" s="6" t="n"/>
      <c r="J69" s="6" t="n"/>
      <c r="K69" s="6" t="n"/>
      <c r="L69" s="6" t="n"/>
      <c r="M69" s="7">
        <f>F69*Settings!$B$4+G69*Settings!$B$5+H69*Settings!$B$6+I69*Settings!$B$7+J69*Settings!$B$8+K69*Settings!$B$9+L69*Settings!$B$10</f>
        <v/>
      </c>
      <c r="N69" s="8">
        <f>M69-INDEX(Settings!$G$4:$G$9,MATCH($E69,Settings!$F$4:$F$9,0))</f>
        <v/>
      </c>
      <c r="O69" s="7">
        <f>N69*INDEX(Settings!$H$4:$H$9,MATCH($E69,Settings!$F$4:$F$9,0))</f>
        <v/>
      </c>
      <c r="P69" s="3" t="inlineStr">
        <is>
          <t>HIGH</t>
        </is>
      </c>
      <c r="Q69" s="5" t="inlineStr"/>
    </row>
    <row r="70">
      <c r="A70" s="3" t="n">
        <v>68</v>
      </c>
      <c r="B70" s="10" t="inlineStr">
        <is>
          <t>WR17</t>
        </is>
      </c>
      <c r="C70" s="5" t="inlineStr">
        <is>
          <t>A.J. Brown</t>
        </is>
      </c>
      <c r="D70" s="3" t="inlineStr">
        <is>
          <t>NE</t>
        </is>
      </c>
      <c r="E70" s="10" t="inlineStr">
        <is>
          <t>WR</t>
        </is>
      </c>
      <c r="F70" s="6" t="n"/>
      <c r="G70" s="6" t="n"/>
      <c r="H70" s="6" t="n">
        <v>7</v>
      </c>
      <c r="I70" s="6" t="n"/>
      <c r="J70" s="6" t="n"/>
      <c r="K70" s="6" t="n"/>
      <c r="L70" s="6" t="n"/>
      <c r="M70" s="7">
        <f>F70*Settings!$B$4+G70*Settings!$B$5+H70*Settings!$B$6+I70*Settings!$B$7+J70*Settings!$B$8+K70*Settings!$B$9+L70*Settings!$B$10</f>
        <v/>
      </c>
      <c r="N70" s="8">
        <f>M70-INDEX(Settings!$G$4:$G$9,MATCH($E70,Settings!$F$4:$F$9,0))</f>
        <v/>
      </c>
      <c r="O70" s="7">
        <f>N70*INDEX(Settings!$H$4:$H$9,MATCH($E70,Settings!$F$4:$F$9,0))</f>
        <v/>
      </c>
      <c r="P70" s="3" t="inlineStr">
        <is>
          <t>HIGH</t>
        </is>
      </c>
      <c r="Q70" s="5" t="inlineStr"/>
    </row>
    <row r="71">
      <c r="A71" s="3" t="n">
        <v>69</v>
      </c>
      <c r="B71" s="11" t="inlineStr">
        <is>
          <t>K9</t>
        </is>
      </c>
      <c r="C71" s="5" t="inlineStr">
        <is>
          <t>Will Reichard</t>
        </is>
      </c>
      <c r="D71" s="3" t="inlineStr">
        <is>
          <t>MIN</t>
        </is>
      </c>
      <c r="E71" s="11" t="inlineStr">
        <is>
          <t>K</t>
        </is>
      </c>
      <c r="F71" s="6" t="n"/>
      <c r="G71" s="6" t="n"/>
      <c r="H71" s="6" t="n"/>
      <c r="I71" s="6" t="n">
        <v>33</v>
      </c>
      <c r="J71" s="6" t="n">
        <v>42</v>
      </c>
      <c r="K71" s="6" t="n"/>
      <c r="L71" s="6" t="n"/>
      <c r="M71" s="7">
        <f>F71*Settings!$B$4+G71*Settings!$B$5+H71*Settings!$B$6+I71*Settings!$B$7+J71*Settings!$B$8+K71*Settings!$B$9+L71*Settings!$B$10</f>
        <v/>
      </c>
      <c r="N71" s="8">
        <f>M71-INDEX(Settings!$G$4:$G$9,MATCH($E71,Settings!$F$4:$F$9,0))</f>
        <v/>
      </c>
      <c r="O71" s="7">
        <f>N71*INDEX(Settings!$H$4:$H$9,MATCH($E71,Settings!$F$4:$F$9,0))</f>
        <v/>
      </c>
      <c r="P71" s="3" t="inlineStr">
        <is>
          <t>HIGH</t>
        </is>
      </c>
      <c r="Q71" s="5" t="inlineStr">
        <is>
          <t>94.3 pct in 2025</t>
        </is>
      </c>
    </row>
    <row r="72">
      <c r="A72" s="3" t="n">
        <v>70</v>
      </c>
      <c r="B72" s="11" t="inlineStr">
        <is>
          <t>K10</t>
        </is>
      </c>
      <c r="C72" s="5" t="inlineStr">
        <is>
          <t>Chase McLaughlin</t>
        </is>
      </c>
      <c r="D72" s="3" t="inlineStr">
        <is>
          <t>TB</t>
        </is>
      </c>
      <c r="E72" s="11" t="inlineStr">
        <is>
          <t>K</t>
        </is>
      </c>
      <c r="F72" s="6" t="n"/>
      <c r="G72" s="6" t="n"/>
      <c r="H72" s="6" t="n"/>
      <c r="I72" s="6" t="n">
        <v>33</v>
      </c>
      <c r="J72" s="6" t="n">
        <v>42</v>
      </c>
      <c r="K72" s="6" t="n"/>
      <c r="L72" s="6" t="n"/>
      <c r="M72" s="7">
        <f>F72*Settings!$B$4+G72*Settings!$B$5+H72*Settings!$B$6+I72*Settings!$B$7+J72*Settings!$B$8+K72*Settings!$B$9+L72*Settings!$B$10</f>
        <v/>
      </c>
      <c r="N72" s="8">
        <f>M72-INDEX(Settings!$G$4:$G$9,MATCH($E72,Settings!$F$4:$F$9,0))</f>
        <v/>
      </c>
      <c r="O72" s="7">
        <f>N72*INDEX(Settings!$H$4:$H$9,MATCH($E72,Settings!$F$4:$F$9,0))</f>
        <v/>
      </c>
      <c r="P72" s="3" t="inlineStr">
        <is>
          <t>HIGH</t>
        </is>
      </c>
      <c r="Q72" s="5" t="inlineStr"/>
    </row>
    <row r="73">
      <c r="A73" s="3" t="n">
        <v>71</v>
      </c>
      <c r="B73" s="9" t="inlineStr">
        <is>
          <t>RB21</t>
        </is>
      </c>
      <c r="C73" s="5" t="inlineStr">
        <is>
          <t>Rhamondre Stevenson</t>
        </is>
      </c>
      <c r="D73" s="3" t="inlineStr">
        <is>
          <t>NE</t>
        </is>
      </c>
      <c r="E73" s="9" t="inlineStr">
        <is>
          <t>RB</t>
        </is>
      </c>
      <c r="F73" s="6" t="n"/>
      <c r="G73" s="6" t="n">
        <v>6.9</v>
      </c>
      <c r="H73" s="6" t="n">
        <v>1.6</v>
      </c>
      <c r="I73" s="6" t="n"/>
      <c r="J73" s="6" t="n"/>
      <c r="K73" s="6" t="n"/>
      <c r="L73" s="6" t="n"/>
      <c r="M73" s="7">
        <f>F73*Settings!$B$4+G73*Settings!$B$5+H73*Settings!$B$6+I73*Settings!$B$7+J73*Settings!$B$8+K73*Settings!$B$9+L73*Settings!$B$10</f>
        <v/>
      </c>
      <c r="N73" s="8">
        <f>M73-INDEX(Settings!$G$4:$G$9,MATCH($E73,Settings!$F$4:$F$9,0))</f>
        <v/>
      </c>
      <c r="O73" s="7">
        <f>N73*INDEX(Settings!$H$4:$H$9,MATCH($E73,Settings!$F$4:$F$9,0))</f>
        <v/>
      </c>
      <c r="P73" s="3" t="inlineStr">
        <is>
          <t>HIGH</t>
        </is>
      </c>
      <c r="Q73" s="5" t="inlineStr">
        <is>
          <t>Goal-line yes</t>
        </is>
      </c>
    </row>
    <row r="74">
      <c r="A74" s="3" t="n">
        <v>72</v>
      </c>
      <c r="B74" s="9" t="inlineStr">
        <is>
          <t>RB22</t>
        </is>
      </c>
      <c r="C74" s="5" t="inlineStr">
        <is>
          <t>Bhayshul Tuten</t>
        </is>
      </c>
      <c r="D74" s="3" t="inlineStr">
        <is>
          <t>JAX</t>
        </is>
      </c>
      <c r="E74" s="9" t="inlineStr">
        <is>
          <t>RB</t>
        </is>
      </c>
      <c r="F74" s="6" t="n"/>
      <c r="G74" s="6" t="n">
        <v>6.8</v>
      </c>
      <c r="H74" s="6" t="n">
        <v>1.7</v>
      </c>
      <c r="I74" s="6" t="n"/>
      <c r="J74" s="6" t="n"/>
      <c r="K74" s="6" t="n"/>
      <c r="L74" s="6" t="n"/>
      <c r="M74" s="7">
        <f>F74*Settings!$B$4+G74*Settings!$B$5+H74*Settings!$B$6+I74*Settings!$B$7+J74*Settings!$B$8+K74*Settings!$B$9+L74*Settings!$B$10</f>
        <v/>
      </c>
      <c r="N74" s="8">
        <f>M74-INDEX(Settings!$G$4:$G$9,MATCH($E74,Settings!$F$4:$F$9,0))</f>
        <v/>
      </c>
      <c r="O74" s="7">
        <f>N74*INDEX(Settings!$H$4:$H$9,MATCH($E74,Settings!$F$4:$F$9,0))</f>
        <v/>
      </c>
      <c r="P74" s="3" t="inlineStr">
        <is>
          <t>HIGH</t>
        </is>
      </c>
      <c r="Q74" s="5" t="inlineStr">
        <is>
          <t>But Rodriguez owns goal line</t>
        </is>
      </c>
    </row>
    <row r="75">
      <c r="A75" s="3" t="n">
        <v>73</v>
      </c>
      <c r="B75" s="10" t="inlineStr">
        <is>
          <t>WR18</t>
        </is>
      </c>
      <c r="C75" s="5" t="inlineStr">
        <is>
          <t>Nico Collins</t>
        </is>
      </c>
      <c r="D75" s="3" t="inlineStr">
        <is>
          <t>HOU</t>
        </is>
      </c>
      <c r="E75" s="10" t="inlineStr">
        <is>
          <t>WR</t>
        </is>
      </c>
      <c r="F75" s="6" t="n"/>
      <c r="G75" s="6" t="n">
        <v>0.1</v>
      </c>
      <c r="H75" s="6" t="n">
        <v>6.8</v>
      </c>
      <c r="I75" s="6" t="n"/>
      <c r="J75" s="6" t="n"/>
      <c r="K75" s="6" t="n"/>
      <c r="L75" s="6" t="n"/>
      <c r="M75" s="7">
        <f>F75*Settings!$B$4+G75*Settings!$B$5+H75*Settings!$B$6+I75*Settings!$B$7+J75*Settings!$B$8+K75*Settings!$B$9+L75*Settings!$B$10</f>
        <v/>
      </c>
      <c r="N75" s="8">
        <f>M75-INDEX(Settings!$G$4:$G$9,MATCH($E75,Settings!$F$4:$F$9,0))</f>
        <v/>
      </c>
      <c r="O75" s="7">
        <f>N75*INDEX(Settings!$H$4:$H$9,MATCH($E75,Settings!$F$4:$F$9,0))</f>
        <v/>
      </c>
      <c r="P75" s="3" t="inlineStr">
        <is>
          <t>HIGH</t>
        </is>
      </c>
      <c r="Q75" s="5" t="inlineStr"/>
    </row>
    <row r="76">
      <c r="A76" s="3" t="n">
        <v>74</v>
      </c>
      <c r="B76" s="10" t="inlineStr">
        <is>
          <t>WR19</t>
        </is>
      </c>
      <c r="C76" s="5" t="inlineStr">
        <is>
          <t>Chris Olave</t>
        </is>
      </c>
      <c r="D76" s="3" t="inlineStr">
        <is>
          <t>NO</t>
        </is>
      </c>
      <c r="E76" s="10" t="inlineStr">
        <is>
          <t>WR</t>
        </is>
      </c>
      <c r="F76" s="6" t="n"/>
      <c r="G76" s="6" t="n"/>
      <c r="H76" s="6" t="n">
        <v>6.8</v>
      </c>
      <c r="I76" s="6" t="n"/>
      <c r="J76" s="6" t="n"/>
      <c r="K76" s="6" t="n"/>
      <c r="L76" s="6" t="n"/>
      <c r="M76" s="7">
        <f>F76*Settings!$B$4+G76*Settings!$B$5+H76*Settings!$B$6+I76*Settings!$B$7+J76*Settings!$B$8+K76*Settings!$B$9+L76*Settings!$B$10</f>
        <v/>
      </c>
      <c r="N76" s="8">
        <f>M76-INDEX(Settings!$G$4:$G$9,MATCH($E76,Settings!$F$4:$F$9,0))</f>
        <v/>
      </c>
      <c r="O76" s="7">
        <f>N76*INDEX(Settings!$H$4:$H$9,MATCH($E76,Settings!$F$4:$F$9,0))</f>
        <v/>
      </c>
      <c r="P76" s="3" t="inlineStr">
        <is>
          <t>HIGH</t>
        </is>
      </c>
      <c r="Q76" s="5" t="inlineStr"/>
    </row>
    <row r="77">
      <c r="A77" s="3" t="n">
        <v>75</v>
      </c>
      <c r="B77" s="4" t="inlineStr">
        <is>
          <t>QB13</t>
        </is>
      </c>
      <c r="C77" s="5" t="inlineStr">
        <is>
          <t>Caleb Williams</t>
        </is>
      </c>
      <c r="D77" s="3" t="inlineStr">
        <is>
          <t>CHI</t>
        </is>
      </c>
      <c r="E77" s="4" t="inlineStr">
        <is>
          <t>QB</t>
        </is>
      </c>
      <c r="F77" s="6" t="n">
        <v>27</v>
      </c>
      <c r="G77" s="6" t="n">
        <v>3</v>
      </c>
      <c r="H77" s="6" t="n"/>
      <c r="I77" s="6" t="n"/>
      <c r="J77" s="6" t="n"/>
      <c r="K77" s="6" t="n"/>
      <c r="L77" s="6" t="n"/>
      <c r="M77" s="7">
        <f>F77*Settings!$B$4+G77*Settings!$B$5+H77*Settings!$B$6+I77*Settings!$B$7+J77*Settings!$B$8+K77*Settings!$B$9+L77*Settings!$B$10</f>
        <v/>
      </c>
      <c r="N77" s="8">
        <f>M77-INDEX(Settings!$G$4:$G$9,MATCH($E77,Settings!$F$4:$F$9,0))</f>
        <v/>
      </c>
      <c r="O77" s="7">
        <f>N77*INDEX(Settings!$H$4:$H$9,MATCH($E77,Settings!$F$4:$F$9,0))</f>
        <v/>
      </c>
      <c r="P77" s="3" t="inlineStr">
        <is>
          <t>HIGH</t>
        </is>
      </c>
      <c r="Q77" s="5" t="inlineStr"/>
    </row>
    <row r="78">
      <c r="A78" s="3" t="n">
        <v>76</v>
      </c>
      <c r="B78" s="10" t="inlineStr">
        <is>
          <t>WR20</t>
        </is>
      </c>
      <c r="C78" s="5" t="inlineStr">
        <is>
          <t>D.J. Moore</t>
        </is>
      </c>
      <c r="D78" s="3" t="inlineStr">
        <is>
          <t>BUF</t>
        </is>
      </c>
      <c r="E78" s="10" t="inlineStr">
        <is>
          <t>WR</t>
        </is>
      </c>
      <c r="F78" s="6" t="n"/>
      <c r="G78" s="6" t="n">
        <v>0.2</v>
      </c>
      <c r="H78" s="6" t="n">
        <v>6.5</v>
      </c>
      <c r="I78" s="6" t="n"/>
      <c r="J78" s="6" t="n"/>
      <c r="K78" s="6" t="n"/>
      <c r="L78" s="6" t="n"/>
      <c r="M78" s="7">
        <f>F78*Settings!$B$4+G78*Settings!$B$5+H78*Settings!$B$6+I78*Settings!$B$7+J78*Settings!$B$8+K78*Settings!$B$9+L78*Settings!$B$10</f>
        <v/>
      </c>
      <c r="N78" s="8">
        <f>M78-INDEX(Settings!$G$4:$G$9,MATCH($E78,Settings!$F$4:$F$9,0))</f>
        <v/>
      </c>
      <c r="O78" s="7">
        <f>N78*INDEX(Settings!$H$4:$H$9,MATCH($E78,Settings!$F$4:$F$9,0))</f>
        <v/>
      </c>
      <c r="P78" s="3" t="inlineStr">
        <is>
          <t>HIGH</t>
        </is>
      </c>
      <c r="Q78" s="5" t="inlineStr"/>
    </row>
    <row r="79">
      <c r="A79" s="3" t="n">
        <v>77</v>
      </c>
      <c r="B79" s="12" t="inlineStr">
        <is>
          <t>TE12</t>
        </is>
      </c>
      <c r="C79" s="5" t="inlineStr">
        <is>
          <t>Tucker Kraft</t>
        </is>
      </c>
      <c r="D79" s="3" t="inlineStr">
        <is>
          <t>GB</t>
        </is>
      </c>
      <c r="E79" s="12" t="inlineStr">
        <is>
          <t>TE</t>
        </is>
      </c>
      <c r="F79" s="6" t="n"/>
      <c r="G79" s="6" t="n">
        <v>0.1</v>
      </c>
      <c r="H79" s="6" t="n">
        <v>4.7</v>
      </c>
      <c r="I79" s="6" t="n"/>
      <c r="J79" s="6" t="n"/>
      <c r="K79" s="6" t="n"/>
      <c r="L79" s="6" t="n"/>
      <c r="M79" s="7">
        <f>F79*Settings!$B$4+G79*Settings!$B$5+H79*Settings!$B$6+I79*Settings!$B$7+J79*Settings!$B$8+K79*Settings!$B$9+L79*Settings!$B$10</f>
        <v/>
      </c>
      <c r="N79" s="8">
        <f>M79-INDEX(Settings!$G$4:$G$9,MATCH($E79,Settings!$F$4:$F$9,0))</f>
        <v/>
      </c>
      <c r="O79" s="7">
        <f>N79*INDEX(Settings!$H$4:$H$9,MATCH($E79,Settings!$F$4:$F$9,0))</f>
        <v/>
      </c>
      <c r="P79" s="3" t="inlineStr">
        <is>
          <t>HIGH</t>
        </is>
      </c>
      <c r="Q79" s="5" t="inlineStr"/>
    </row>
    <row r="80">
      <c r="A80" s="3" t="n">
        <v>78</v>
      </c>
      <c r="B80" s="10" t="inlineStr">
        <is>
          <t>WR21</t>
        </is>
      </c>
      <c r="C80" s="5" t="inlineStr">
        <is>
          <t>Jameson Williams</t>
        </is>
      </c>
      <c r="D80" s="3" t="inlineStr">
        <is>
          <t>DET</t>
        </is>
      </c>
      <c r="E80" s="10" t="inlineStr">
        <is>
          <t>WR</t>
        </is>
      </c>
      <c r="F80" s="6" t="n"/>
      <c r="G80" s="6" t="n">
        <v>0.3</v>
      </c>
      <c r="H80" s="6" t="n">
        <v>6.3</v>
      </c>
      <c r="I80" s="6" t="n"/>
      <c r="J80" s="6" t="n"/>
      <c r="K80" s="6" t="n"/>
      <c r="L80" s="6" t="n"/>
      <c r="M80" s="7">
        <f>F80*Settings!$B$4+G80*Settings!$B$5+H80*Settings!$B$6+I80*Settings!$B$7+J80*Settings!$B$8+K80*Settings!$B$9+L80*Settings!$B$10</f>
        <v/>
      </c>
      <c r="N80" s="8">
        <f>M80-INDEX(Settings!$G$4:$G$9,MATCH($E80,Settings!$F$4:$F$9,0))</f>
        <v/>
      </c>
      <c r="O80" s="7">
        <f>N80*INDEX(Settings!$H$4:$H$9,MATCH($E80,Settings!$F$4:$F$9,0))</f>
        <v/>
      </c>
      <c r="P80" s="3" t="inlineStr">
        <is>
          <t>HIGH</t>
        </is>
      </c>
      <c r="Q80" s="5" t="inlineStr"/>
    </row>
    <row r="81">
      <c r="A81" s="3" t="n">
        <v>79</v>
      </c>
      <c r="B81" s="9" t="inlineStr">
        <is>
          <t>RB23</t>
        </is>
      </c>
      <c r="C81" s="5" t="inlineStr">
        <is>
          <t>Bucky Irving</t>
        </is>
      </c>
      <c r="D81" s="3" t="inlineStr">
        <is>
          <t>TB</t>
        </is>
      </c>
      <c r="E81" s="9" t="inlineStr">
        <is>
          <t>RB</t>
        </is>
      </c>
      <c r="F81" s="6" t="n"/>
      <c r="G81" s="6" t="n">
        <v>6.2</v>
      </c>
      <c r="H81" s="6" t="n">
        <v>1.9</v>
      </c>
      <c r="I81" s="6" t="n"/>
      <c r="J81" s="6" t="n"/>
      <c r="K81" s="6" t="n"/>
      <c r="L81" s="6" t="n"/>
      <c r="M81" s="7">
        <f>F81*Settings!$B$4+G81*Settings!$B$5+H81*Settings!$B$6+I81*Settings!$B$7+J81*Settings!$B$8+K81*Settings!$B$9+L81*Settings!$B$10</f>
        <v/>
      </c>
      <c r="N81" s="8">
        <f>M81-INDEX(Settings!$G$4:$G$9,MATCH($E81,Settings!$F$4:$F$9,0))</f>
        <v/>
      </c>
      <c r="O81" s="7">
        <f>N81*INDEX(Settings!$H$4:$H$9,MATCH($E81,Settings!$F$4:$F$9,0))</f>
        <v/>
      </c>
      <c r="P81" s="3" t="inlineStr">
        <is>
          <t>HIGH</t>
        </is>
      </c>
      <c r="Q81" s="5" t="inlineStr">
        <is>
          <t>TRAP: ZERO carries inside the 5 in 2025</t>
        </is>
      </c>
    </row>
    <row r="82">
      <c r="A82" s="3" t="n">
        <v>80</v>
      </c>
      <c r="B82" s="12" t="inlineStr">
        <is>
          <t>TE13</t>
        </is>
      </c>
      <c r="C82" s="5" t="inlineStr">
        <is>
          <t>Dalton Kincaid</t>
        </is>
      </c>
      <c r="D82" s="3" t="inlineStr">
        <is>
          <t>BUF</t>
        </is>
      </c>
      <c r="E82" s="12" t="inlineStr">
        <is>
          <t>TE</t>
        </is>
      </c>
      <c r="F82" s="6" t="n"/>
      <c r="G82" s="6" t="n"/>
      <c r="H82" s="6" t="n">
        <v>4.7</v>
      </c>
      <c r="I82" s="6" t="n"/>
      <c r="J82" s="6" t="n"/>
      <c r="K82" s="6" t="n"/>
      <c r="L82" s="6" t="n"/>
      <c r="M82" s="7">
        <f>F82*Settings!$B$4+G82*Settings!$B$5+H82*Settings!$B$6+I82*Settings!$B$7+J82*Settings!$B$8+K82*Settings!$B$9+L82*Settings!$B$10</f>
        <v/>
      </c>
      <c r="N82" s="8">
        <f>M82-INDEX(Settings!$G$4:$G$9,MATCH($E82,Settings!$F$4:$F$9,0))</f>
        <v/>
      </c>
      <c r="O82" s="7">
        <f>N82*INDEX(Settings!$H$4:$H$9,MATCH($E82,Settings!$F$4:$F$9,0))</f>
        <v/>
      </c>
      <c r="P82" s="3" t="inlineStr">
        <is>
          <t>HIGH</t>
        </is>
      </c>
      <c r="Q82" s="5" t="inlineStr"/>
    </row>
    <row r="83">
      <c r="A83" s="3" t="n">
        <v>81</v>
      </c>
      <c r="B83" s="4" t="inlineStr">
        <is>
          <t>QB14</t>
        </is>
      </c>
      <c r="C83" s="5" t="inlineStr">
        <is>
          <t>Justin Herbert</t>
        </is>
      </c>
      <c r="D83" s="3" t="inlineStr">
        <is>
          <t>LAC</t>
        </is>
      </c>
      <c r="E83" s="4" t="inlineStr">
        <is>
          <t>QB</t>
        </is>
      </c>
      <c r="F83" s="6" t="n">
        <v>27.5</v>
      </c>
      <c r="G83" s="6" t="n">
        <v>2.5</v>
      </c>
      <c r="H83" s="6" t="n"/>
      <c r="I83" s="6" t="n"/>
      <c r="J83" s="6" t="n"/>
      <c r="K83" s="6" t="n"/>
      <c r="L83" s="6" t="n"/>
      <c r="M83" s="7">
        <f>F83*Settings!$B$4+G83*Settings!$B$5+H83*Settings!$B$6+I83*Settings!$B$7+J83*Settings!$B$8+K83*Settings!$B$9+L83*Settings!$B$10</f>
        <v/>
      </c>
      <c r="N83" s="8">
        <f>M83-INDEX(Settings!$G$4:$G$9,MATCH($E83,Settings!$F$4:$F$9,0))</f>
        <v/>
      </c>
      <c r="O83" s="7">
        <f>N83*INDEX(Settings!$H$4:$H$9,MATCH($E83,Settings!$F$4:$F$9,0))</f>
        <v/>
      </c>
      <c r="P83" s="3" t="inlineStr">
        <is>
          <t>HIGH</t>
        </is>
      </c>
      <c r="Q83" s="5" t="inlineStr"/>
    </row>
    <row r="84">
      <c r="A84" s="3" t="n">
        <v>82</v>
      </c>
      <c r="B84" s="11" t="inlineStr">
        <is>
          <t>K11</t>
        </is>
      </c>
      <c r="C84" s="5" t="inlineStr">
        <is>
          <t>Tyler Loop</t>
        </is>
      </c>
      <c r="D84" s="3" t="inlineStr">
        <is>
          <t>BAL</t>
        </is>
      </c>
      <c r="E84" s="11" t="inlineStr">
        <is>
          <t>K</t>
        </is>
      </c>
      <c r="F84" s="6" t="n"/>
      <c r="G84" s="6" t="n"/>
      <c r="H84" s="6" t="n"/>
      <c r="I84" s="6" t="n">
        <v>29</v>
      </c>
      <c r="J84" s="6" t="n">
        <v>49</v>
      </c>
      <c r="K84" s="6" t="n"/>
      <c r="L84" s="6" t="n"/>
      <c r="M84" s="7">
        <f>F84*Settings!$B$4+G84*Settings!$B$5+H84*Settings!$B$6+I84*Settings!$B$7+J84*Settings!$B$8+K84*Settings!$B$9+L84*Settings!$B$10</f>
        <v/>
      </c>
      <c r="N84" s="8">
        <f>M84-INDEX(Settings!$G$4:$G$9,MATCH($E84,Settings!$F$4:$F$9,0))</f>
        <v/>
      </c>
      <c r="O84" s="7">
        <f>N84*INDEX(Settings!$H$4:$H$9,MATCH($E84,Settings!$F$4:$F$9,0))</f>
        <v/>
      </c>
      <c r="P84" s="3" t="inlineStr">
        <is>
          <t>MEDIUM</t>
        </is>
      </c>
      <c r="Q84" s="5" t="inlineStr">
        <is>
          <t>Year 2; BAL 11.5 win total</t>
        </is>
      </c>
    </row>
    <row r="85">
      <c r="A85" s="3" t="n">
        <v>83</v>
      </c>
      <c r="B85" s="9" t="inlineStr">
        <is>
          <t>RB24</t>
        </is>
      </c>
      <c r="C85" s="5" t="inlineStr">
        <is>
          <t>Quinshon Judkins</t>
        </is>
      </c>
      <c r="D85" s="3" t="inlineStr">
        <is>
          <t>CLE</t>
        </is>
      </c>
      <c r="E85" s="9" t="inlineStr">
        <is>
          <t>RB</t>
        </is>
      </c>
      <c r="F85" s="6" t="n"/>
      <c r="G85" s="6" t="n">
        <v>7.2</v>
      </c>
      <c r="H85" s="6" t="n">
        <v>0.8</v>
      </c>
      <c r="I85" s="6" t="n"/>
      <c r="J85" s="6" t="n"/>
      <c r="K85" s="6" t="n"/>
      <c r="L85" s="6" t="n"/>
      <c r="M85" s="7">
        <f>F85*Settings!$B$4+G85*Settings!$B$5+H85*Settings!$B$6+I85*Settings!$B$7+J85*Settings!$B$8+K85*Settings!$B$9+L85*Settings!$B$10</f>
        <v/>
      </c>
      <c r="N85" s="8">
        <f>M85-INDEX(Settings!$G$4:$G$9,MATCH($E85,Settings!$F$4:$F$9,0))</f>
        <v/>
      </c>
      <c r="O85" s="7">
        <f>N85*INDEX(Settings!$H$4:$H$9,MATCH($E85,Settings!$F$4:$F$9,0))</f>
        <v/>
      </c>
      <c r="P85" s="3" t="inlineStr">
        <is>
          <t>HIGH</t>
        </is>
      </c>
      <c r="Q85" s="5" t="inlineStr">
        <is>
          <t>Goal-line yes</t>
        </is>
      </c>
    </row>
    <row r="86">
      <c r="A86" s="3" t="n">
        <v>84</v>
      </c>
      <c r="B86" s="9" t="inlineStr">
        <is>
          <t>RB25</t>
        </is>
      </c>
      <c r="C86" s="5" t="inlineStr">
        <is>
          <t>TreVeyon Henderson</t>
        </is>
      </c>
      <c r="D86" s="3" t="inlineStr">
        <is>
          <t>NE</t>
        </is>
      </c>
      <c r="E86" s="9" t="inlineStr">
        <is>
          <t>RB</t>
        </is>
      </c>
      <c r="F86" s="6" t="n"/>
      <c r="G86" s="6" t="n">
        <v>6.8</v>
      </c>
      <c r="H86" s="6" t="n">
        <v>1.2</v>
      </c>
      <c r="I86" s="6" t="n"/>
      <c r="J86" s="6" t="n"/>
      <c r="K86" s="6" t="n"/>
      <c r="L86" s="6" t="n"/>
      <c r="M86" s="7">
        <f>F86*Settings!$B$4+G86*Settings!$B$5+H86*Settings!$B$6+I86*Settings!$B$7+J86*Settings!$B$8+K86*Settings!$B$9+L86*Settings!$B$10</f>
        <v/>
      </c>
      <c r="N86" s="8">
        <f>M86-INDEX(Settings!$G$4:$G$9,MATCH($E86,Settings!$F$4:$F$9,0))</f>
        <v/>
      </c>
      <c r="O86" s="7">
        <f>N86*INDEX(Settings!$H$4:$H$9,MATCH($E86,Settings!$F$4:$F$9,0))</f>
        <v/>
      </c>
      <c r="P86" s="3" t="inlineStr">
        <is>
          <t>HIGH</t>
        </is>
      </c>
      <c r="Q86" s="5" t="inlineStr">
        <is>
          <t>Not the goal-line back</t>
        </is>
      </c>
    </row>
    <row r="87">
      <c r="A87" s="3" t="n">
        <v>85</v>
      </c>
      <c r="B87" s="13" t="inlineStr">
        <is>
          <t>DST1</t>
        </is>
      </c>
      <c r="C87" s="5" t="inlineStr">
        <is>
          <t>Seahawks D/ST</t>
        </is>
      </c>
      <c r="D87" s="3" t="inlineStr">
        <is>
          <t>SEA</t>
        </is>
      </c>
      <c r="E87" s="13" t="inlineStr">
        <is>
          <t>DST</t>
        </is>
      </c>
      <c r="F87" s="6" t="n"/>
      <c r="G87" s="6" t="n"/>
      <c r="H87" s="6" t="n"/>
      <c r="I87" s="6" t="n"/>
      <c r="J87" s="6" t="n"/>
      <c r="K87" s="6" t="n">
        <v>3.47</v>
      </c>
      <c r="L87" s="6" t="n">
        <v>0.5</v>
      </c>
      <c r="M87" s="7">
        <f>F87*Settings!$B$4+G87*Settings!$B$5+H87*Settings!$B$6+I87*Settings!$B$7+J87*Settings!$B$8+K87*Settings!$B$9+L87*Settings!$B$10</f>
        <v/>
      </c>
      <c r="N87" s="8">
        <f>M87-INDEX(Settings!$G$4:$G$9,MATCH($E87,Settings!$F$4:$F$9,0))</f>
        <v/>
      </c>
      <c r="O87" s="7">
        <f>N87*INDEX(Settings!$H$4:$H$9,MATCH($E87,Settings!$F$4:$F$9,0))</f>
        <v/>
      </c>
      <c r="P87" s="3" t="inlineStr">
        <is>
          <t>MEDIUM</t>
        </is>
      </c>
      <c r="Q87" s="5" t="inlineStr">
        <is>
          <t>Only team with 3+ def TD all 3 yrs; Tory Horton PR</t>
        </is>
      </c>
    </row>
    <row r="88">
      <c r="A88" s="3" t="n">
        <v>86</v>
      </c>
      <c r="B88" s="10" t="inlineStr">
        <is>
          <t>WR22</t>
        </is>
      </c>
      <c r="C88" s="5" t="inlineStr">
        <is>
          <t>Mike Evans</t>
        </is>
      </c>
      <c r="D88" s="3" t="inlineStr">
        <is>
          <t>SF</t>
        </is>
      </c>
      <c r="E88" s="10" t="inlineStr">
        <is>
          <t>WR</t>
        </is>
      </c>
      <c r="F88" s="6" t="n"/>
      <c r="G88" s="6" t="n"/>
      <c r="H88" s="6" t="n">
        <v>6.4</v>
      </c>
      <c r="I88" s="6" t="n"/>
      <c r="J88" s="6" t="n"/>
      <c r="K88" s="6" t="n"/>
      <c r="L88" s="6" t="n"/>
      <c r="M88" s="7">
        <f>F88*Settings!$B$4+G88*Settings!$B$5+H88*Settings!$B$6+I88*Settings!$B$7+J88*Settings!$B$8+K88*Settings!$B$9+L88*Settings!$B$10</f>
        <v/>
      </c>
      <c r="N88" s="8">
        <f>M88-INDEX(Settings!$G$4:$G$9,MATCH($E88,Settings!$F$4:$F$9,0))</f>
        <v/>
      </c>
      <c r="O88" s="7">
        <f>N88*INDEX(Settings!$H$4:$H$9,MATCH($E88,Settings!$F$4:$F$9,0))</f>
        <v/>
      </c>
      <c r="P88" s="3" t="inlineStr">
        <is>
          <t>HIGH</t>
        </is>
      </c>
      <c r="Q88" s="5" t="inlineStr"/>
    </row>
    <row r="89">
      <c r="A89" s="3" t="n">
        <v>87</v>
      </c>
      <c r="B89" s="11" t="inlineStr">
        <is>
          <t>K12</t>
        </is>
      </c>
      <c r="C89" s="5" t="inlineStr">
        <is>
          <t>Cam Little</t>
        </is>
      </c>
      <c r="D89" s="3" t="inlineStr">
        <is>
          <t>JAX</t>
        </is>
      </c>
      <c r="E89" s="11" t="inlineStr">
        <is>
          <t>K</t>
        </is>
      </c>
      <c r="F89" s="6" t="n"/>
      <c r="G89" s="6" t="n"/>
      <c r="H89" s="6" t="n"/>
      <c r="I89" s="6" t="n">
        <v>29</v>
      </c>
      <c r="J89" s="6" t="n">
        <v>48</v>
      </c>
      <c r="K89" s="6" t="n"/>
      <c r="L89" s="6" t="n"/>
      <c r="M89" s="7">
        <f>F89*Settings!$B$4+G89*Settings!$B$5+H89*Settings!$B$6+I89*Settings!$B$7+J89*Settings!$B$8+K89*Settings!$B$9+L89*Settings!$B$10</f>
        <v/>
      </c>
      <c r="N89" s="8">
        <f>M89-INDEX(Settings!$G$4:$G$9,MATCH($E89,Settings!$F$4:$F$9,0))</f>
        <v/>
      </c>
      <c r="O89" s="7">
        <f>N89*INDEX(Settings!$H$4:$H$9,MATCH($E89,Settings!$F$4:$F$9,0))</f>
        <v/>
      </c>
      <c r="P89" s="3" t="inlineStr">
        <is>
          <t>HIGH</t>
        </is>
      </c>
      <c r="Q89" s="5" t="inlineStr"/>
    </row>
    <row r="90">
      <c r="A90" s="3" t="n">
        <v>88</v>
      </c>
      <c r="B90" s="13" t="inlineStr">
        <is>
          <t>DST2</t>
        </is>
      </c>
      <c r="C90" s="5" t="inlineStr">
        <is>
          <t>Cowboys D/ST</t>
        </is>
      </c>
      <c r="D90" s="3" t="inlineStr">
        <is>
          <t>DAL</t>
        </is>
      </c>
      <c r="E90" s="13" t="inlineStr">
        <is>
          <t>DST</t>
        </is>
      </c>
      <c r="F90" s="6" t="n"/>
      <c r="G90" s="6" t="n"/>
      <c r="H90" s="6" t="n"/>
      <c r="I90" s="6" t="n"/>
      <c r="J90" s="6" t="n"/>
      <c r="K90" s="6" t="n">
        <v>3.14</v>
      </c>
      <c r="L90" s="6" t="n">
        <v>0.45</v>
      </c>
      <c r="M90" s="7">
        <f>F90*Settings!$B$4+G90*Settings!$B$5+H90*Settings!$B$6+I90*Settings!$B$7+J90*Settings!$B$8+K90*Settings!$B$9+L90*Settings!$B$10</f>
        <v/>
      </c>
      <c r="N90" s="8">
        <f>M90-INDEX(Settings!$G$4:$G$9,MATCH($E90,Settings!$F$4:$F$9,0))</f>
        <v/>
      </c>
      <c r="O90" s="7">
        <f>N90*INDEX(Settings!$H$4:$H$9,MATCH($E90,Settings!$F$4:$F$9,0))</f>
        <v/>
      </c>
      <c r="P90" s="3" t="inlineStr">
        <is>
          <t>MEDIUM</t>
        </is>
      </c>
      <c r="Q90" s="5" t="inlineStr">
        <is>
          <t>KaVontae Turpin led NFL KR yds 2025</t>
        </is>
      </c>
    </row>
    <row r="91">
      <c r="A91" s="3" t="n">
        <v>89</v>
      </c>
      <c r="B91" s="11" t="inlineStr">
        <is>
          <t>K13</t>
        </is>
      </c>
      <c r="C91" s="5" t="inlineStr">
        <is>
          <t>Harrison Butker</t>
        </is>
      </c>
      <c r="D91" s="3" t="inlineStr">
        <is>
          <t>KC</t>
        </is>
      </c>
      <c r="E91" s="11" t="inlineStr">
        <is>
          <t>K</t>
        </is>
      </c>
      <c r="F91" s="6" t="n"/>
      <c r="G91" s="6" t="n"/>
      <c r="H91" s="6" t="n"/>
      <c r="I91" s="6" t="n">
        <v>33</v>
      </c>
      <c r="J91" s="6" t="n">
        <v>35</v>
      </c>
      <c r="K91" s="6" t="n"/>
      <c r="L91" s="6" t="n"/>
      <c r="M91" s="7">
        <f>F91*Settings!$B$4+G91*Settings!$B$5+H91*Settings!$B$6+I91*Settings!$B$7+J91*Settings!$B$8+K91*Settings!$B$9+L91*Settings!$B$10</f>
        <v/>
      </c>
      <c r="N91" s="8">
        <f>M91-INDEX(Settings!$G$4:$G$9,MATCH($E91,Settings!$F$4:$F$9,0))</f>
        <v/>
      </c>
      <c r="O91" s="7">
        <f>N91*INDEX(Settings!$H$4:$H$9,MATCH($E91,Settings!$F$4:$F$9,0))</f>
        <v/>
      </c>
      <c r="P91" s="3" t="inlineStr">
        <is>
          <t>HIGH</t>
        </is>
      </c>
      <c r="Q91" s="5" t="inlineStr">
        <is>
          <t>Strong FG lean</t>
        </is>
      </c>
    </row>
    <row r="92">
      <c r="A92" s="3" t="n">
        <v>90</v>
      </c>
      <c r="B92" s="11" t="inlineStr">
        <is>
          <t>K14</t>
        </is>
      </c>
      <c r="C92" s="5" t="inlineStr">
        <is>
          <t>Wil Lutz</t>
        </is>
      </c>
      <c r="D92" s="3" t="inlineStr">
        <is>
          <t>DEN</t>
        </is>
      </c>
      <c r="E92" s="11" t="inlineStr">
        <is>
          <t>K</t>
        </is>
      </c>
      <c r="F92" s="6" t="n"/>
      <c r="G92" s="6" t="n"/>
      <c r="H92" s="6" t="n"/>
      <c r="I92" s="6" t="n">
        <v>30</v>
      </c>
      <c r="J92" s="6" t="n">
        <v>44</v>
      </c>
      <c r="K92" s="6" t="n"/>
      <c r="L92" s="6" t="n"/>
      <c r="M92" s="7">
        <f>F92*Settings!$B$4+G92*Settings!$B$5+H92*Settings!$B$6+I92*Settings!$B$7+J92*Settings!$B$8+K92*Settings!$B$9+L92*Settings!$B$10</f>
        <v/>
      </c>
      <c r="N92" s="8">
        <f>M92-INDEX(Settings!$G$4:$G$9,MATCH($E92,Settings!$F$4:$F$9,0))</f>
        <v/>
      </c>
      <c r="O92" s="7">
        <f>N92*INDEX(Settings!$H$4:$H$9,MATCH($E92,Settings!$F$4:$F$9,0))</f>
        <v/>
      </c>
      <c r="P92" s="3" t="inlineStr">
        <is>
          <t>HIGH</t>
        </is>
      </c>
      <c r="Q92" s="5" t="inlineStr"/>
    </row>
    <row r="93">
      <c r="A93" s="3" t="n">
        <v>91</v>
      </c>
      <c r="B93" s="11" t="inlineStr">
        <is>
          <t>K15</t>
        </is>
      </c>
      <c r="C93" s="5" t="inlineStr">
        <is>
          <t>Evan McPherson</t>
        </is>
      </c>
      <c r="D93" s="3" t="inlineStr">
        <is>
          <t>CIN</t>
        </is>
      </c>
      <c r="E93" s="11" t="inlineStr">
        <is>
          <t>K</t>
        </is>
      </c>
      <c r="F93" s="6" t="n"/>
      <c r="G93" s="6" t="n"/>
      <c r="H93" s="6" t="n"/>
      <c r="I93" s="6" t="n">
        <v>29</v>
      </c>
      <c r="J93" s="6" t="n">
        <v>47</v>
      </c>
      <c r="K93" s="6" t="n"/>
      <c r="L93" s="6" t="n"/>
      <c r="M93" s="7">
        <f>F93*Settings!$B$4+G93*Settings!$B$5+H93*Settings!$B$6+I93*Settings!$B$7+J93*Settings!$B$8+K93*Settings!$B$9+L93*Settings!$B$10</f>
        <v/>
      </c>
      <c r="N93" s="8">
        <f>M93-INDEX(Settings!$G$4:$G$9,MATCH($E93,Settings!$F$4:$F$9,0))</f>
        <v/>
      </c>
      <c r="O93" s="7">
        <f>N93*INDEX(Settings!$H$4:$H$9,MATCH($E93,Settings!$F$4:$F$9,0))</f>
        <v/>
      </c>
      <c r="P93" s="3" t="inlineStr">
        <is>
          <t>HIGH</t>
        </is>
      </c>
      <c r="Q93" s="5" t="inlineStr">
        <is>
          <t>Only 28 FGA in 2025</t>
        </is>
      </c>
    </row>
    <row r="94">
      <c r="A94" s="3" t="n">
        <v>92</v>
      </c>
      <c r="B94" s="9" t="inlineStr">
        <is>
          <t>RB26</t>
        </is>
      </c>
      <c r="C94" s="5" t="inlineStr">
        <is>
          <t>David Montgomery</t>
        </is>
      </c>
      <c r="D94" s="3" t="inlineStr">
        <is>
          <t>HOU</t>
        </is>
      </c>
      <c r="E94" s="9" t="inlineStr">
        <is>
          <t>RB</t>
        </is>
      </c>
      <c r="F94" s="6" t="n"/>
      <c r="G94" s="6" t="n">
        <v>7</v>
      </c>
      <c r="H94" s="6" t="n">
        <v>0.8</v>
      </c>
      <c r="I94" s="6" t="n"/>
      <c r="J94" s="6" t="n"/>
      <c r="K94" s="6" t="n"/>
      <c r="L94" s="6" t="n"/>
      <c r="M94" s="7">
        <f>F94*Settings!$B$4+G94*Settings!$B$5+H94*Settings!$B$6+I94*Settings!$B$7+J94*Settings!$B$8+K94*Settings!$B$9+L94*Settings!$B$10</f>
        <v/>
      </c>
      <c r="N94" s="8">
        <f>M94-INDEX(Settings!$G$4:$G$9,MATCH($E94,Settings!$F$4:$F$9,0))</f>
        <v/>
      </c>
      <c r="O94" s="7">
        <f>N94*INDEX(Settings!$H$4:$H$9,MATCH($E94,Settings!$F$4:$F$9,0))</f>
        <v/>
      </c>
      <c r="P94" s="3" t="inlineStr">
        <is>
          <t>HIGH</t>
        </is>
      </c>
      <c r="Q94" s="5" t="inlineStr">
        <is>
          <t>Traded DET to HOU</t>
        </is>
      </c>
    </row>
    <row r="95">
      <c r="A95" s="3" t="n">
        <v>93</v>
      </c>
      <c r="B95" s="10" t="inlineStr">
        <is>
          <t>WR23</t>
        </is>
      </c>
      <c r="C95" s="5" t="inlineStr">
        <is>
          <t>Ladd McConkey</t>
        </is>
      </c>
      <c r="D95" s="3" t="inlineStr">
        <is>
          <t>LAC</t>
        </is>
      </c>
      <c r="E95" s="10" t="inlineStr">
        <is>
          <t>WR</t>
        </is>
      </c>
      <c r="F95" s="6" t="n"/>
      <c r="G95" s="6" t="n"/>
      <c r="H95" s="6" t="n">
        <v>6.2</v>
      </c>
      <c r="I95" s="6" t="n"/>
      <c r="J95" s="6" t="n"/>
      <c r="K95" s="6" t="n"/>
      <c r="L95" s="6" t="n"/>
      <c r="M95" s="7">
        <f>F95*Settings!$B$4+G95*Settings!$B$5+H95*Settings!$B$6+I95*Settings!$B$7+J95*Settings!$B$8+K95*Settings!$B$9+L95*Settings!$B$10</f>
        <v/>
      </c>
      <c r="N95" s="8">
        <f>M95-INDEX(Settings!$G$4:$G$9,MATCH($E95,Settings!$F$4:$F$9,0))</f>
        <v/>
      </c>
      <c r="O95" s="7">
        <f>N95*INDEX(Settings!$H$4:$H$9,MATCH($E95,Settings!$F$4:$F$9,0))</f>
        <v/>
      </c>
      <c r="P95" s="3" t="inlineStr">
        <is>
          <t>HIGH</t>
        </is>
      </c>
      <c r="Q95" s="5" t="inlineStr"/>
    </row>
    <row r="96">
      <c r="A96" s="3" t="n">
        <v>94</v>
      </c>
      <c r="B96" s="4" t="inlineStr">
        <is>
          <t>QB15</t>
        </is>
      </c>
      <c r="C96" s="5" t="inlineStr">
        <is>
          <t>Patrick Mahomes</t>
        </is>
      </c>
      <c r="D96" s="3" t="inlineStr">
        <is>
          <t>KC</t>
        </is>
      </c>
      <c r="E96" s="4" t="inlineStr">
        <is>
          <t>QB</t>
        </is>
      </c>
      <c r="F96" s="6" t="n">
        <v>26</v>
      </c>
      <c r="G96" s="6" t="n">
        <v>3</v>
      </c>
      <c r="H96" s="6" t="n"/>
      <c r="I96" s="6" t="n"/>
      <c r="J96" s="6" t="n"/>
      <c r="K96" s="6" t="n"/>
      <c r="L96" s="6" t="n"/>
      <c r="M96" s="7">
        <f>F96*Settings!$B$4+G96*Settings!$B$5+H96*Settings!$B$6+I96*Settings!$B$7+J96*Settings!$B$8+K96*Settings!$B$9+L96*Settings!$B$10</f>
        <v/>
      </c>
      <c r="N96" s="8">
        <f>M96-INDEX(Settings!$G$4:$G$9,MATCH($E96,Settings!$F$4:$F$9,0))</f>
        <v/>
      </c>
      <c r="O96" s="7">
        <f>N96*INDEX(Settings!$H$4:$H$9,MATCH($E96,Settings!$F$4:$F$9,0))</f>
        <v/>
      </c>
      <c r="P96" s="3" t="inlineStr">
        <is>
          <t>MEDIUM</t>
        </is>
      </c>
      <c r="Q96" s="5" t="inlineStr">
        <is>
          <t>INJURY RISK: torn ACL+LCL 2025; no preseason snaps</t>
        </is>
      </c>
    </row>
    <row r="97">
      <c r="A97" s="3" t="n">
        <v>95</v>
      </c>
      <c r="B97" s="13" t="inlineStr">
        <is>
          <t>DST3</t>
        </is>
      </c>
      <c r="C97" s="5" t="inlineStr">
        <is>
          <t>Texans D/ST</t>
        </is>
      </c>
      <c r="D97" s="3" t="inlineStr">
        <is>
          <t>HOU</t>
        </is>
      </c>
      <c r="E97" s="13" t="inlineStr">
        <is>
          <t>DST</t>
        </is>
      </c>
      <c r="F97" s="6" t="n"/>
      <c r="G97" s="6" t="n"/>
      <c r="H97" s="6" t="n"/>
      <c r="I97" s="6" t="n"/>
      <c r="J97" s="6" t="n"/>
      <c r="K97" s="6" t="n">
        <v>2.79</v>
      </c>
      <c r="L97" s="6" t="n">
        <v>0.65</v>
      </c>
      <c r="M97" s="7">
        <f>F97*Settings!$B$4+G97*Settings!$B$5+H97*Settings!$B$6+I97*Settings!$B$7+J97*Settings!$B$8+K97*Settings!$B$9+L97*Settings!$B$10</f>
        <v/>
      </c>
      <c r="N97" s="8">
        <f>M97-INDEX(Settings!$G$4:$G$9,MATCH($E97,Settings!$F$4:$F$9,0))</f>
        <v/>
      </c>
      <c r="O97" s="7">
        <f>N97*INDEX(Settings!$H$4:$H$9,MATCH($E97,Settings!$F$4:$F$9,0))</f>
        <v/>
      </c>
      <c r="P97" s="3" t="inlineStr">
        <is>
          <t>MEDIUM</t>
        </is>
      </c>
      <c r="Q97" s="5" t="inlineStr">
        <is>
          <t>3 FR TD in 2025; elite pass rush; weak returns</t>
        </is>
      </c>
    </row>
    <row r="98">
      <c r="A98" s="3" t="n">
        <v>96</v>
      </c>
      <c r="B98" s="13" t="inlineStr">
        <is>
          <t>DST4</t>
        </is>
      </c>
      <c r="C98" s="5" t="inlineStr">
        <is>
          <t>Browns D/ST</t>
        </is>
      </c>
      <c r="D98" s="3" t="inlineStr">
        <is>
          <t>CLE</t>
        </is>
      </c>
      <c r="E98" s="13" t="inlineStr">
        <is>
          <t>DST</t>
        </is>
      </c>
      <c r="F98" s="6" t="n"/>
      <c r="G98" s="6" t="n"/>
      <c r="H98" s="6" t="n"/>
      <c r="I98" s="6" t="n"/>
      <c r="J98" s="6" t="n"/>
      <c r="K98" s="6" t="n">
        <v>2.79</v>
      </c>
      <c r="L98" s="6" t="n">
        <v>0.6</v>
      </c>
      <c r="M98" s="7">
        <f>F98*Settings!$B$4+G98*Settings!$B$5+H98*Settings!$B$6+I98*Settings!$B$7+J98*Settings!$B$8+K98*Settings!$B$9+L98*Settings!$B$10</f>
        <v/>
      </c>
      <c r="N98" s="8">
        <f>M98-INDEX(Settings!$G$4:$G$9,MATCH($E98,Settings!$F$4:$F$9,0))</f>
        <v/>
      </c>
      <c r="O98" s="7">
        <f>N98*INDEX(Settings!$H$4:$H$9,MATCH($E98,Settings!$F$4:$F$9,0))</f>
        <v/>
      </c>
      <c r="P98" s="3" t="inlineStr">
        <is>
          <t>MEDIUM</t>
        </is>
      </c>
      <c r="Q98" s="5" t="inlineStr">
        <is>
          <t>3 INT TD on only 11 INTs; bad offense = more snaps</t>
        </is>
      </c>
    </row>
    <row r="99">
      <c r="A99" s="3" t="n">
        <v>97</v>
      </c>
      <c r="B99" s="13" t="inlineStr">
        <is>
          <t>DST5</t>
        </is>
      </c>
      <c r="C99" s="5" t="inlineStr">
        <is>
          <t>Broncos D/ST</t>
        </is>
      </c>
      <c r="D99" s="3" t="inlineStr">
        <is>
          <t>DEN</t>
        </is>
      </c>
      <c r="E99" s="13" t="inlineStr">
        <is>
          <t>DST</t>
        </is>
      </c>
      <c r="F99" s="6" t="n"/>
      <c r="G99" s="6" t="n"/>
      <c r="H99" s="6" t="n"/>
      <c r="I99" s="6" t="n"/>
      <c r="J99" s="6" t="n"/>
      <c r="K99" s="6" t="n">
        <v>2.77</v>
      </c>
      <c r="L99" s="6" t="n">
        <v>0.65</v>
      </c>
      <c r="M99" s="7">
        <f>F99*Settings!$B$4+G99*Settings!$B$5+H99*Settings!$B$6+I99*Settings!$B$7+J99*Settings!$B$8+K99*Settings!$B$9+L99*Settings!$B$10</f>
        <v/>
      </c>
      <c r="N99" s="8">
        <f>M99-INDEX(Settings!$G$4:$G$9,MATCH($E99,Settings!$F$4:$F$9,0))</f>
        <v/>
      </c>
      <c r="O99" s="7">
        <f>N99*INDEX(Settings!$H$4:$H$9,MATCH($E99,Settings!$F$4:$F$9,0))</f>
        <v/>
      </c>
      <c r="P99" s="3" t="inlineStr">
        <is>
          <t>MEDIUM</t>
        </is>
      </c>
      <c r="Q99" s="5" t="inlineStr">
        <is>
          <t>Marvin Mims led PR yds 2025</t>
        </is>
      </c>
    </row>
    <row r="100">
      <c r="A100" s="3" t="n">
        <v>98</v>
      </c>
      <c r="B100" s="13" t="inlineStr">
        <is>
          <t>DST6</t>
        </is>
      </c>
      <c r="C100" s="5" t="inlineStr">
        <is>
          <t>Vikings D/ST</t>
        </is>
      </c>
      <c r="D100" s="3" t="inlineStr">
        <is>
          <t>MIN</t>
        </is>
      </c>
      <c r="E100" s="13" t="inlineStr">
        <is>
          <t>DST</t>
        </is>
      </c>
      <c r="F100" s="6" t="n"/>
      <c r="G100" s="6" t="n"/>
      <c r="H100" s="6" t="n"/>
      <c r="I100" s="6" t="n"/>
      <c r="J100" s="6" t="n"/>
      <c r="K100" s="6" t="n">
        <v>2.77</v>
      </c>
      <c r="L100" s="6" t="n">
        <v>0.6</v>
      </c>
      <c r="M100" s="7">
        <f>F100*Settings!$B$4+G100*Settings!$B$5+H100*Settings!$B$6+I100*Settings!$B$7+J100*Settings!$B$8+K100*Settings!$B$9+L100*Settings!$B$10</f>
        <v/>
      </c>
      <c r="N100" s="8">
        <f>M100-INDEX(Settings!$G$4:$G$9,MATCH($E100,Settings!$F$4:$F$9,0))</f>
        <v/>
      </c>
      <c r="O100" s="7">
        <f>N100*INDEX(Settings!$H$4:$H$9,MATCH($E100,Settings!$F$4:$F$9,0))</f>
        <v/>
      </c>
      <c r="P100" s="3" t="inlineStr">
        <is>
          <t>MEDIUM</t>
        </is>
      </c>
      <c r="Q100" s="5" t="inlineStr">
        <is>
          <t>Led NFL forced fumbles 2025</t>
        </is>
      </c>
    </row>
    <row r="101">
      <c r="A101" s="3" t="n">
        <v>99</v>
      </c>
      <c r="B101" s="13" t="inlineStr">
        <is>
          <t>DST7</t>
        </is>
      </c>
      <c r="C101" s="5" t="inlineStr">
        <is>
          <t>Bills D/ST</t>
        </is>
      </c>
      <c r="D101" s="3" t="inlineStr">
        <is>
          <t>BUF</t>
        </is>
      </c>
      <c r="E101" s="13" t="inlineStr">
        <is>
          <t>DST</t>
        </is>
      </c>
      <c r="F101" s="6" t="n"/>
      <c r="G101" s="6" t="n"/>
      <c r="H101" s="6" t="n"/>
      <c r="I101" s="6" t="n"/>
      <c r="J101" s="6" t="n"/>
      <c r="K101" s="6" t="n">
        <v>2.77</v>
      </c>
      <c r="L101" s="6" t="n">
        <v>0.5</v>
      </c>
      <c r="M101" s="7">
        <f>F101*Settings!$B$4+G101*Settings!$B$5+H101*Settings!$B$6+I101*Settings!$B$7+J101*Settings!$B$8+K101*Settings!$B$9+L101*Settings!$B$10</f>
        <v/>
      </c>
      <c r="N101" s="8">
        <f>M101-INDEX(Settings!$G$4:$G$9,MATCH($E101,Settings!$F$4:$F$9,0))</f>
        <v/>
      </c>
      <c r="O101" s="7">
        <f>N101*INDEX(Settings!$H$4:$H$9,MATCH($E101,Settings!$F$4:$F$9,0))</f>
        <v/>
      </c>
      <c r="P101" s="3" t="inlineStr">
        <is>
          <t>MEDIUM</t>
        </is>
      </c>
      <c r="Q101" s="5" t="inlineStr">
        <is>
          <t>Consistent 2-3 def TD/yr</t>
        </is>
      </c>
    </row>
    <row r="102">
      <c r="A102" s="3" t="n">
        <v>100</v>
      </c>
      <c r="B102" s="9" t="inlineStr">
        <is>
          <t>RB27</t>
        </is>
      </c>
      <c r="C102" s="5" t="inlineStr">
        <is>
          <t>J.K. Dobbins</t>
        </is>
      </c>
      <c r="D102" s="3" t="inlineStr">
        <is>
          <t>DEN</t>
        </is>
      </c>
      <c r="E102" s="9" t="inlineStr">
        <is>
          <t>RB</t>
        </is>
      </c>
      <c r="F102" s="6" t="n"/>
      <c r="G102" s="6" t="n">
        <v>6.8</v>
      </c>
      <c r="H102" s="6" t="n">
        <v>0.9</v>
      </c>
      <c r="I102" s="6" t="n"/>
      <c r="J102" s="6" t="n"/>
      <c r="K102" s="6" t="n"/>
      <c r="L102" s="6" t="n"/>
      <c r="M102" s="7">
        <f>F102*Settings!$B$4+G102*Settings!$B$5+H102*Settings!$B$6+I102*Settings!$B$7+J102*Settings!$B$8+K102*Settings!$B$9+L102*Settings!$B$10</f>
        <v/>
      </c>
      <c r="N102" s="8">
        <f>M102-INDEX(Settings!$G$4:$G$9,MATCH($E102,Settings!$F$4:$F$9,0))</f>
        <v/>
      </c>
      <c r="O102" s="7">
        <f>N102*INDEX(Settings!$H$4:$H$9,MATCH($E102,Settings!$F$4:$F$9,0))</f>
        <v/>
      </c>
      <c r="P102" s="3" t="inlineStr">
        <is>
          <t>HIGH</t>
        </is>
      </c>
      <c r="Q102" s="5" t="inlineStr">
        <is>
          <t>Goal-line yes</t>
        </is>
      </c>
    </row>
    <row r="103">
      <c r="A103" s="3" t="n">
        <v>101</v>
      </c>
      <c r="B103" s="13" t="inlineStr">
        <is>
          <t>DST8</t>
        </is>
      </c>
      <c r="C103" s="5" t="inlineStr">
        <is>
          <t>Jaguars D/ST</t>
        </is>
      </c>
      <c r="D103" s="3" t="inlineStr">
        <is>
          <t>JAX</t>
        </is>
      </c>
      <c r="E103" s="13" t="inlineStr">
        <is>
          <t>DST</t>
        </is>
      </c>
      <c r="F103" s="6" t="n"/>
      <c r="G103" s="6" t="n"/>
      <c r="H103" s="6" t="n"/>
      <c r="I103" s="6" t="n"/>
      <c r="J103" s="6" t="n"/>
      <c r="K103" s="6" t="n">
        <v>2.63</v>
      </c>
      <c r="L103" s="6" t="n">
        <v>0.55</v>
      </c>
      <c r="M103" s="7">
        <f>F103*Settings!$B$4+G103*Settings!$B$5+H103*Settings!$B$6+I103*Settings!$B$7+J103*Settings!$B$8+K103*Settings!$B$9+L103*Settings!$B$10</f>
        <v/>
      </c>
      <c r="N103" s="8">
        <f>M103-INDEX(Settings!$G$4:$G$9,MATCH($E103,Settings!$F$4:$F$9,0))</f>
        <v/>
      </c>
      <c r="O103" s="7">
        <f>N103*INDEX(Settings!$H$4:$H$9,MATCH($E103,Settings!$F$4:$F$9,0))</f>
        <v/>
      </c>
      <c r="P103" s="3" t="inlineStr">
        <is>
          <t>MEDIUM</t>
        </is>
      </c>
      <c r="Q103" s="5" t="inlineStr">
        <is>
          <t>Parker Washington 3 PR TD in 2 yrs</t>
        </is>
      </c>
    </row>
    <row r="104">
      <c r="A104" s="3" t="n">
        <v>102</v>
      </c>
      <c r="B104" s="10" t="inlineStr">
        <is>
          <t>WR24</t>
        </is>
      </c>
      <c r="C104" s="5" t="inlineStr">
        <is>
          <t>DK Metcalf</t>
        </is>
      </c>
      <c r="D104" s="3" t="inlineStr">
        <is>
          <t>PIT</t>
        </is>
      </c>
      <c r="E104" s="10" t="inlineStr">
        <is>
          <t>WR</t>
        </is>
      </c>
      <c r="F104" s="6" t="n"/>
      <c r="G104" s="6" t="n"/>
      <c r="H104" s="6" t="n">
        <v>6.1</v>
      </c>
      <c r="I104" s="6" t="n"/>
      <c r="J104" s="6" t="n"/>
      <c r="K104" s="6" t="n"/>
      <c r="L104" s="6" t="n"/>
      <c r="M104" s="7">
        <f>F104*Settings!$B$4+G104*Settings!$B$5+H104*Settings!$B$6+I104*Settings!$B$7+J104*Settings!$B$8+K104*Settings!$B$9+L104*Settings!$B$10</f>
        <v/>
      </c>
      <c r="N104" s="8">
        <f>M104-INDEX(Settings!$G$4:$G$9,MATCH($E104,Settings!$F$4:$F$9,0))</f>
        <v/>
      </c>
      <c r="O104" s="7">
        <f>N104*INDEX(Settings!$H$4:$H$9,MATCH($E104,Settings!$F$4:$F$9,0))</f>
        <v/>
      </c>
      <c r="P104" s="3" t="inlineStr">
        <is>
          <t>HIGH</t>
        </is>
      </c>
      <c r="Q104" s="5" t="inlineStr"/>
    </row>
    <row r="105">
      <c r="A105" s="3" t="n">
        <v>103</v>
      </c>
      <c r="B105" s="10" t="inlineStr">
        <is>
          <t>WR25</t>
        </is>
      </c>
      <c r="C105" s="5" t="inlineStr">
        <is>
          <t>Jaylen Waddle</t>
        </is>
      </c>
      <c r="D105" s="3" t="inlineStr">
        <is>
          <t>DEN</t>
        </is>
      </c>
      <c r="E105" s="10" t="inlineStr">
        <is>
          <t>WR</t>
        </is>
      </c>
      <c r="F105" s="6" t="n"/>
      <c r="G105" s="6" t="n">
        <v>0.1</v>
      </c>
      <c r="H105" s="6" t="n">
        <v>6</v>
      </c>
      <c r="I105" s="6" t="n"/>
      <c r="J105" s="6" t="n"/>
      <c r="K105" s="6" t="n"/>
      <c r="L105" s="6" t="n"/>
      <c r="M105" s="7">
        <f>F105*Settings!$B$4+G105*Settings!$B$5+H105*Settings!$B$6+I105*Settings!$B$7+J105*Settings!$B$8+K105*Settings!$B$9+L105*Settings!$B$10</f>
        <v/>
      </c>
      <c r="N105" s="8">
        <f>M105-INDEX(Settings!$G$4:$G$9,MATCH($E105,Settings!$F$4:$F$9,0))</f>
        <v/>
      </c>
      <c r="O105" s="7">
        <f>N105*INDEX(Settings!$H$4:$H$9,MATCH($E105,Settings!$F$4:$F$9,0))</f>
        <v/>
      </c>
      <c r="P105" s="3" t="inlineStr">
        <is>
          <t>HIGH</t>
        </is>
      </c>
      <c r="Q105" s="5" t="inlineStr"/>
    </row>
    <row r="106">
      <c r="A106" s="3" t="n">
        <v>104</v>
      </c>
      <c r="B106" s="13" t="inlineStr">
        <is>
          <t>DST9</t>
        </is>
      </c>
      <c r="C106" s="5" t="inlineStr">
        <is>
          <t>Falcons D/ST</t>
        </is>
      </c>
      <c r="D106" s="3" t="inlineStr">
        <is>
          <t>ATL</t>
        </is>
      </c>
      <c r="E106" s="13" t="inlineStr">
        <is>
          <t>DST</t>
        </is>
      </c>
      <c r="F106" s="6" t="n"/>
      <c r="G106" s="6" t="n"/>
      <c r="H106" s="6" t="n"/>
      <c r="I106" s="6" t="n"/>
      <c r="J106" s="6" t="n"/>
      <c r="K106" s="6" t="n">
        <v>2.6</v>
      </c>
      <c r="L106" s="6" t="n">
        <v>0.5</v>
      </c>
      <c r="M106" s="7">
        <f>F106*Settings!$B$4+G106*Settings!$B$5+H106*Settings!$B$6+I106*Settings!$B$7+J106*Settings!$B$8+K106*Settings!$B$9+L106*Settings!$B$10</f>
        <v/>
      </c>
      <c r="N106" s="8">
        <f>M106-INDEX(Settings!$G$4:$G$9,MATCH($E106,Settings!$F$4:$F$9,0))</f>
        <v/>
      </c>
      <c r="O106" s="7">
        <f>N106*INDEX(Settings!$H$4:$H$9,MATCH($E106,Settings!$F$4:$F$9,0))</f>
        <v/>
      </c>
      <c r="P106" s="3" t="inlineStr">
        <is>
          <t>MEDIUM</t>
        </is>
      </c>
      <c r="Q106" s="5" t="inlineStr">
        <is>
          <t>4 def TD in 2024; Branch return upside</t>
        </is>
      </c>
    </row>
    <row r="107">
      <c r="A107" s="3" t="n">
        <v>105</v>
      </c>
      <c r="B107" s="13" t="inlineStr">
        <is>
          <t>DST10</t>
        </is>
      </c>
      <c r="C107" s="5" t="inlineStr">
        <is>
          <t>Steelers D/ST</t>
        </is>
      </c>
      <c r="D107" s="3" t="inlineStr">
        <is>
          <t>PIT</t>
        </is>
      </c>
      <c r="E107" s="13" t="inlineStr">
        <is>
          <t>DST</t>
        </is>
      </c>
      <c r="F107" s="6" t="n"/>
      <c r="G107" s="6" t="n"/>
      <c r="H107" s="6" t="n"/>
      <c r="I107" s="6" t="n"/>
      <c r="J107" s="6" t="n"/>
      <c r="K107" s="6" t="n">
        <v>2.45</v>
      </c>
      <c r="L107" s="6" t="n">
        <v>0.6</v>
      </c>
      <c r="M107" s="7">
        <f>F107*Settings!$B$4+G107*Settings!$B$5+H107*Settings!$B$6+I107*Settings!$B$7+J107*Settings!$B$8+K107*Settings!$B$9+L107*Settings!$B$10</f>
        <v/>
      </c>
      <c r="N107" s="8">
        <f>M107-INDEX(Settings!$G$4:$G$9,MATCH($E107,Settings!$F$4:$F$9,0))</f>
        <v/>
      </c>
      <c r="O107" s="7">
        <f>N107*INDEX(Settings!$H$4:$H$9,MATCH($E107,Settings!$F$4:$F$9,0))</f>
        <v/>
      </c>
      <c r="P107" s="3" t="inlineStr">
        <is>
          <t>MEDIUM</t>
        </is>
      </c>
      <c r="Q107" s="5" t="inlineStr">
        <is>
          <t>3 def TD 2025</t>
        </is>
      </c>
    </row>
    <row r="108">
      <c r="A108" s="3" t="n">
        <v>106</v>
      </c>
      <c r="B108" s="13" t="inlineStr">
        <is>
          <t>DST11</t>
        </is>
      </c>
      <c r="C108" s="5" t="inlineStr">
        <is>
          <t>Patriots D/ST</t>
        </is>
      </c>
      <c r="D108" s="3" t="inlineStr">
        <is>
          <t>NE</t>
        </is>
      </c>
      <c r="E108" s="13" t="inlineStr">
        <is>
          <t>DST</t>
        </is>
      </c>
      <c r="F108" s="6" t="n"/>
      <c r="G108" s="6" t="n"/>
      <c r="H108" s="6" t="n"/>
      <c r="I108" s="6" t="n"/>
      <c r="J108" s="6" t="n"/>
      <c r="K108" s="6" t="n">
        <v>2.47</v>
      </c>
      <c r="L108" s="6" t="n">
        <v>0.5</v>
      </c>
      <c r="M108" s="7">
        <f>F108*Settings!$B$4+G108*Settings!$B$5+H108*Settings!$B$6+I108*Settings!$B$7+J108*Settings!$B$8+K108*Settings!$B$9+L108*Settings!$B$10</f>
        <v/>
      </c>
      <c r="N108" s="8">
        <f>M108-INDEX(Settings!$G$4:$G$9,MATCH($E108,Settings!$F$4:$F$9,0))</f>
        <v/>
      </c>
      <c r="O108" s="7">
        <f>N108*INDEX(Settings!$H$4:$H$9,MATCH($E108,Settings!$F$4:$F$9,0))</f>
        <v/>
      </c>
      <c r="P108" s="3" t="inlineStr">
        <is>
          <t>MEDIUM</t>
        </is>
      </c>
      <c r="Q108" s="5" t="inlineStr">
        <is>
          <t>Marcus Jones 2 PR TD 2025; best PR unit</t>
        </is>
      </c>
    </row>
    <row r="109">
      <c r="A109" s="3" t="n">
        <v>107</v>
      </c>
      <c r="B109" s="13" t="inlineStr">
        <is>
          <t>DST12</t>
        </is>
      </c>
      <c r="C109" s="5" t="inlineStr">
        <is>
          <t>Raiders D/ST</t>
        </is>
      </c>
      <c r="D109" s="3" t="inlineStr">
        <is>
          <t>LV</t>
        </is>
      </c>
      <c r="E109" s="13" t="inlineStr">
        <is>
          <t>DST</t>
        </is>
      </c>
      <c r="F109" s="6" t="n"/>
      <c r="G109" s="6" t="n"/>
      <c r="H109" s="6" t="n"/>
      <c r="I109" s="6" t="n"/>
      <c r="J109" s="6" t="n"/>
      <c r="K109" s="6" t="n">
        <v>2.45</v>
      </c>
      <c r="L109" s="6" t="n">
        <v>0.55</v>
      </c>
      <c r="M109" s="7">
        <f>F109*Settings!$B$4+G109*Settings!$B$5+H109*Settings!$B$6+I109*Settings!$B$7+J109*Settings!$B$8+K109*Settings!$B$9+L109*Settings!$B$10</f>
        <v/>
      </c>
      <c r="N109" s="8">
        <f>M109-INDEX(Settings!$G$4:$G$9,MATCH($E109,Settings!$F$4:$F$9,0))</f>
        <v/>
      </c>
      <c r="O109" s="7">
        <f>N109*INDEX(Settings!$H$4:$H$9,MATCH($E109,Settings!$F$4:$F$9,0))</f>
        <v/>
      </c>
      <c r="P109" s="3" t="inlineStr">
        <is>
          <t>LOW</t>
        </is>
      </c>
      <c r="Q109" s="5" t="inlineStr">
        <is>
          <t>5 def TD in 2023 then 1 then 0</t>
        </is>
      </c>
    </row>
    <row r="110">
      <c r="A110" s="3" t="n">
        <v>108</v>
      </c>
      <c r="B110" s="13" t="inlineStr">
        <is>
          <t>DST13</t>
        </is>
      </c>
      <c r="C110" s="5" t="inlineStr">
        <is>
          <t>Colts D/ST</t>
        </is>
      </c>
      <c r="D110" s="3" t="inlineStr">
        <is>
          <t>IND</t>
        </is>
      </c>
      <c r="E110" s="13" t="inlineStr">
        <is>
          <t>DST</t>
        </is>
      </c>
      <c r="F110" s="6" t="n"/>
      <c r="G110" s="6" t="n"/>
      <c r="H110" s="6" t="n"/>
      <c r="I110" s="6" t="n"/>
      <c r="J110" s="6" t="n"/>
      <c r="K110" s="6" t="n">
        <v>2.45</v>
      </c>
      <c r="L110" s="6" t="n">
        <v>0.5</v>
      </c>
      <c r="M110" s="7">
        <f>F110*Settings!$B$4+G110*Settings!$B$5+H110*Settings!$B$6+I110*Settings!$B$7+J110*Settings!$B$8+K110*Settings!$B$9+L110*Settings!$B$10</f>
        <v/>
      </c>
      <c r="N110" s="8">
        <f>M110-INDEX(Settings!$G$4:$G$9,MATCH($E110,Settings!$F$4:$F$9,0))</f>
        <v/>
      </c>
      <c r="O110" s="7">
        <f>N110*INDEX(Settings!$H$4:$H$9,MATCH($E110,Settings!$F$4:$F$9,0))</f>
        <v/>
      </c>
      <c r="P110" s="3" t="inlineStr">
        <is>
          <t>MEDIUM</t>
        </is>
      </c>
      <c r="Q110" s="5" t="inlineStr"/>
    </row>
    <row r="111">
      <c r="A111" s="3" t="n">
        <v>109</v>
      </c>
      <c r="B111" s="13" t="inlineStr">
        <is>
          <t>DST14</t>
        </is>
      </c>
      <c r="C111" s="5" t="inlineStr">
        <is>
          <t>Ravens D/ST</t>
        </is>
      </c>
      <c r="D111" s="3" t="inlineStr">
        <is>
          <t>BAL</t>
        </is>
      </c>
      <c r="E111" s="13" t="inlineStr">
        <is>
          <t>DST</t>
        </is>
      </c>
      <c r="F111" s="6" t="n"/>
      <c r="G111" s="6" t="n"/>
      <c r="H111" s="6" t="n"/>
      <c r="I111" s="6" t="n"/>
      <c r="J111" s="6" t="n"/>
      <c r="K111" s="6" t="n">
        <v>2.43</v>
      </c>
      <c r="L111" s="6" t="n">
        <v>0.55</v>
      </c>
      <c r="M111" s="7">
        <f>F111*Settings!$B$4+G111*Settings!$B$5+H111*Settings!$B$6+I111*Settings!$B$7+J111*Settings!$B$8+K111*Settings!$B$9+L111*Settings!$B$10</f>
        <v/>
      </c>
      <c r="N111" s="8">
        <f>M111-INDEX(Settings!$G$4:$G$9,MATCH($E111,Settings!$F$4:$F$9,0))</f>
        <v/>
      </c>
      <c r="O111" s="7">
        <f>N111*INDEX(Settings!$H$4:$H$9,MATCH($E111,Settings!$F$4:$F$9,0))</f>
        <v/>
      </c>
      <c r="P111" s="3" t="inlineStr">
        <is>
          <t>MEDIUM</t>
        </is>
      </c>
      <c r="Q111" s="5" t="inlineStr">
        <is>
          <t>Steady 1-2/yr</t>
        </is>
      </c>
    </row>
    <row r="112">
      <c r="A112" s="3" t="n">
        <v>110</v>
      </c>
      <c r="B112" s="13" t="inlineStr">
        <is>
          <t>DST15</t>
        </is>
      </c>
      <c r="C112" s="5" t="inlineStr">
        <is>
          <t>Bears D/ST</t>
        </is>
      </c>
      <c r="D112" s="3" t="inlineStr">
        <is>
          <t>CHI</t>
        </is>
      </c>
      <c r="E112" s="13" t="inlineStr">
        <is>
          <t>DST</t>
        </is>
      </c>
      <c r="F112" s="6" t="n"/>
      <c r="G112" s="6" t="n"/>
      <c r="H112" s="6" t="n"/>
      <c r="I112" s="6" t="n"/>
      <c r="J112" s="6" t="n"/>
      <c r="K112" s="6" t="n">
        <v>2.43</v>
      </c>
      <c r="L112" s="6" t="n">
        <v>0.5</v>
      </c>
      <c r="M112" s="7">
        <f>F112*Settings!$B$4+G112*Settings!$B$5+H112*Settings!$B$6+I112*Settings!$B$7+J112*Settings!$B$8+K112*Settings!$B$9+L112*Settings!$B$10</f>
        <v/>
      </c>
      <c r="N112" s="8">
        <f>M112-INDEX(Settings!$G$4:$G$9,MATCH($E112,Settings!$F$4:$F$9,0))</f>
        <v/>
      </c>
      <c r="O112" s="7">
        <f>N112*INDEX(Settings!$H$4:$H$9,MATCH($E112,Settings!$F$4:$F$9,0))</f>
        <v/>
      </c>
      <c r="P112" s="3" t="inlineStr">
        <is>
          <t>MEDIUM</t>
        </is>
      </c>
      <c r="Q112" s="5" t="inlineStr">
        <is>
          <t>Led NFL 23 INTs 2025</t>
        </is>
      </c>
    </row>
    <row r="113">
      <c r="A113" s="3" t="n">
        <v>111</v>
      </c>
      <c r="B113" s="12" t="inlineStr">
        <is>
          <t>TE14</t>
        </is>
      </c>
      <c r="C113" s="5" t="inlineStr">
        <is>
          <t>Travis Kelce</t>
        </is>
      </c>
      <c r="D113" s="3" t="inlineStr">
        <is>
          <t>KC</t>
        </is>
      </c>
      <c r="E113" s="12" t="inlineStr">
        <is>
          <t>TE</t>
        </is>
      </c>
      <c r="F113" s="6" t="n"/>
      <c r="G113" s="6" t="n"/>
      <c r="H113" s="6" t="n">
        <v>4.2</v>
      </c>
      <c r="I113" s="6" t="n"/>
      <c r="J113" s="6" t="n"/>
      <c r="K113" s="6" t="n"/>
      <c r="L113" s="6" t="n"/>
      <c r="M113" s="7">
        <f>F113*Settings!$B$4+G113*Settings!$B$5+H113*Settings!$B$6+I113*Settings!$B$7+J113*Settings!$B$8+K113*Settings!$B$9+L113*Settings!$B$10</f>
        <v/>
      </c>
      <c r="N113" s="8">
        <f>M113-INDEX(Settings!$G$4:$G$9,MATCH($E113,Settings!$F$4:$F$9,0))</f>
        <v/>
      </c>
      <c r="O113" s="7">
        <f>N113*INDEX(Settings!$H$4:$H$9,MATCH($E113,Settings!$F$4:$F$9,0))</f>
        <v/>
      </c>
      <c r="P113" s="3" t="inlineStr">
        <is>
          <t>HIGH</t>
        </is>
      </c>
      <c r="Q113" s="5" t="inlineStr"/>
    </row>
    <row r="114">
      <c r="A114" s="3" t="n">
        <v>112</v>
      </c>
      <c r="B114" s="12" t="inlineStr">
        <is>
          <t>TE15</t>
        </is>
      </c>
      <c r="C114" s="5" t="inlineStr">
        <is>
          <t>Harold Fannin Jr.</t>
        </is>
      </c>
      <c r="D114" s="3" t="inlineStr">
        <is>
          <t>CLE</t>
        </is>
      </c>
      <c r="E114" s="12" t="inlineStr">
        <is>
          <t>TE</t>
        </is>
      </c>
      <c r="F114" s="6" t="n"/>
      <c r="G114" s="6" t="n">
        <v>0.1</v>
      </c>
      <c r="H114" s="6" t="n">
        <v>4.1</v>
      </c>
      <c r="I114" s="6" t="n"/>
      <c r="J114" s="6" t="n"/>
      <c r="K114" s="6" t="n"/>
      <c r="L114" s="6" t="n"/>
      <c r="M114" s="7">
        <f>F114*Settings!$B$4+G114*Settings!$B$5+H114*Settings!$B$6+I114*Settings!$B$7+J114*Settings!$B$8+K114*Settings!$B$9+L114*Settings!$B$10</f>
        <v/>
      </c>
      <c r="N114" s="8">
        <f>M114-INDEX(Settings!$G$4:$G$9,MATCH($E114,Settings!$F$4:$F$9,0))</f>
        <v/>
      </c>
      <c r="O114" s="7">
        <f>N114*INDEX(Settings!$H$4:$H$9,MATCH($E114,Settings!$F$4:$F$9,0))</f>
        <v/>
      </c>
      <c r="P114" s="3" t="inlineStr">
        <is>
          <t>HIGH</t>
        </is>
      </c>
      <c r="Q114" s="5" t="inlineStr"/>
    </row>
    <row r="115">
      <c r="A115" s="3" t="n">
        <v>113</v>
      </c>
      <c r="B115" s="9" t="inlineStr">
        <is>
          <t>RB28</t>
        </is>
      </c>
      <c r="C115" s="5" t="inlineStr">
        <is>
          <t>Travis Etienne Jr.</t>
        </is>
      </c>
      <c r="D115" s="3" t="inlineStr">
        <is>
          <t>NO</t>
        </is>
      </c>
      <c r="E115" s="9" t="inlineStr">
        <is>
          <t>RB</t>
        </is>
      </c>
      <c r="F115" s="6" t="n"/>
      <c r="G115" s="6" t="n">
        <v>5.6</v>
      </c>
      <c r="H115" s="6" t="n">
        <v>2</v>
      </c>
      <c r="I115" s="6" t="n"/>
      <c r="J115" s="6" t="n"/>
      <c r="K115" s="6" t="n"/>
      <c r="L115" s="6" t="n"/>
      <c r="M115" s="7">
        <f>F115*Settings!$B$4+G115*Settings!$B$5+H115*Settings!$B$6+I115*Settings!$B$7+J115*Settings!$B$8+K115*Settings!$B$9+L115*Settings!$B$10</f>
        <v/>
      </c>
      <c r="N115" s="8">
        <f>M115-INDEX(Settings!$G$4:$G$9,MATCH($E115,Settings!$F$4:$F$9,0))</f>
        <v/>
      </c>
      <c r="O115" s="7">
        <f>N115*INDEX(Settings!$H$4:$H$9,MATCH($E115,Settings!$F$4:$F$9,0))</f>
        <v/>
      </c>
      <c r="P115" s="3" t="inlineStr">
        <is>
          <t>HIGH</t>
        </is>
      </c>
      <c r="Q115" s="5" t="inlineStr">
        <is>
          <t>Traded JAX to NO</t>
        </is>
      </c>
    </row>
    <row r="116">
      <c r="A116" s="3" t="n">
        <v>114</v>
      </c>
      <c r="B116" s="10" t="inlineStr">
        <is>
          <t>WR26</t>
        </is>
      </c>
      <c r="C116" s="5" t="inlineStr">
        <is>
          <t>DeVonta Smith</t>
        </is>
      </c>
      <c r="D116" s="3" t="inlineStr">
        <is>
          <t>PHI</t>
        </is>
      </c>
      <c r="E116" s="10" t="inlineStr">
        <is>
          <t>WR</t>
        </is>
      </c>
      <c r="F116" s="6" t="n"/>
      <c r="G116" s="6" t="n"/>
      <c r="H116" s="6" t="n">
        <v>6</v>
      </c>
      <c r="I116" s="6" t="n"/>
      <c r="J116" s="6" t="n"/>
      <c r="K116" s="6" t="n"/>
      <c r="L116" s="6" t="n"/>
      <c r="M116" s="7">
        <f>F116*Settings!$B$4+G116*Settings!$B$5+H116*Settings!$B$6+I116*Settings!$B$7+J116*Settings!$B$8+K116*Settings!$B$9+L116*Settings!$B$10</f>
        <v/>
      </c>
      <c r="N116" s="8">
        <f>M116-INDEX(Settings!$G$4:$G$9,MATCH($E116,Settings!$F$4:$F$9,0))</f>
        <v/>
      </c>
      <c r="O116" s="7">
        <f>N116*INDEX(Settings!$H$4:$H$9,MATCH($E116,Settings!$F$4:$F$9,0))</f>
        <v/>
      </c>
      <c r="P116" s="3" t="inlineStr">
        <is>
          <t>HIGH</t>
        </is>
      </c>
      <c r="Q116" s="5" t="inlineStr"/>
    </row>
    <row r="117">
      <c r="A117" s="3" t="n">
        <v>115</v>
      </c>
      <c r="B117" s="10" t="inlineStr">
        <is>
          <t>WR27</t>
        </is>
      </c>
      <c r="C117" s="5" t="inlineStr">
        <is>
          <t>Tetairoa McMillan</t>
        </is>
      </c>
      <c r="D117" s="3" t="inlineStr">
        <is>
          <t>CAR</t>
        </is>
      </c>
      <c r="E117" s="10" t="inlineStr">
        <is>
          <t>WR</t>
        </is>
      </c>
      <c r="F117" s="6" t="n"/>
      <c r="G117" s="6" t="n"/>
      <c r="H117" s="6" t="n">
        <v>6</v>
      </c>
      <c r="I117" s="6" t="n"/>
      <c r="J117" s="6" t="n"/>
      <c r="K117" s="6" t="n"/>
      <c r="L117" s="6" t="n"/>
      <c r="M117" s="7">
        <f>F117*Settings!$B$4+G117*Settings!$B$5+H117*Settings!$B$6+I117*Settings!$B$7+J117*Settings!$B$8+K117*Settings!$B$9+L117*Settings!$B$10</f>
        <v/>
      </c>
      <c r="N117" s="8">
        <f>M117-INDEX(Settings!$G$4:$G$9,MATCH($E117,Settings!$F$4:$F$9,0))</f>
        <v/>
      </c>
      <c r="O117" s="7">
        <f>N117*INDEX(Settings!$H$4:$H$9,MATCH($E117,Settings!$F$4:$F$9,0))</f>
        <v/>
      </c>
      <c r="P117" s="3" t="inlineStr">
        <is>
          <t>HIGH</t>
        </is>
      </c>
      <c r="Q117" s="5" t="inlineStr"/>
    </row>
    <row r="118">
      <c r="A118" s="3" t="n">
        <v>116</v>
      </c>
      <c r="B118" s="10" t="inlineStr">
        <is>
          <t>WR28</t>
        </is>
      </c>
      <c r="C118" s="5" t="inlineStr">
        <is>
          <t>Terry McLaurin</t>
        </is>
      </c>
      <c r="D118" s="3" t="inlineStr">
        <is>
          <t>WAS</t>
        </is>
      </c>
      <c r="E118" s="10" t="inlineStr">
        <is>
          <t>WR</t>
        </is>
      </c>
      <c r="F118" s="6" t="n"/>
      <c r="G118" s="6" t="n"/>
      <c r="H118" s="6" t="n">
        <v>6</v>
      </c>
      <c r="I118" s="6" t="n"/>
      <c r="J118" s="6" t="n"/>
      <c r="K118" s="6" t="n"/>
      <c r="L118" s="6" t="n"/>
      <c r="M118" s="7">
        <f>F118*Settings!$B$4+G118*Settings!$B$5+H118*Settings!$B$6+I118*Settings!$B$7+J118*Settings!$B$8+K118*Settings!$B$9+L118*Settings!$B$10</f>
        <v/>
      </c>
      <c r="N118" s="8">
        <f>M118-INDEX(Settings!$G$4:$G$9,MATCH($E118,Settings!$F$4:$F$9,0))</f>
        <v/>
      </c>
      <c r="O118" s="7">
        <f>N118*INDEX(Settings!$H$4:$H$9,MATCH($E118,Settings!$F$4:$F$9,0))</f>
        <v/>
      </c>
      <c r="P118" s="3" t="inlineStr">
        <is>
          <t>HIGH</t>
        </is>
      </c>
      <c r="Q118" s="5" t="inlineStr"/>
    </row>
    <row r="119">
      <c r="A119" s="3" t="n">
        <v>117</v>
      </c>
      <c r="B119" s="10" t="inlineStr">
        <is>
          <t>WR29</t>
        </is>
      </c>
      <c r="C119" s="5" t="inlineStr">
        <is>
          <t>Zay Flowers</t>
        </is>
      </c>
      <c r="D119" s="3" t="inlineStr">
        <is>
          <t>BAL</t>
        </is>
      </c>
      <c r="E119" s="10" t="inlineStr">
        <is>
          <t>WR</t>
        </is>
      </c>
      <c r="F119" s="6" t="n"/>
      <c r="G119" s="6" t="n">
        <v>0.2</v>
      </c>
      <c r="H119" s="6" t="n">
        <v>5.8</v>
      </c>
      <c r="I119" s="6" t="n"/>
      <c r="J119" s="6" t="n"/>
      <c r="K119" s="6" t="n"/>
      <c r="L119" s="6" t="n"/>
      <c r="M119" s="7">
        <f>F119*Settings!$B$4+G119*Settings!$B$5+H119*Settings!$B$6+I119*Settings!$B$7+J119*Settings!$B$8+K119*Settings!$B$9+L119*Settings!$B$10</f>
        <v/>
      </c>
      <c r="N119" s="8">
        <f>M119-INDEX(Settings!$G$4:$G$9,MATCH($E119,Settings!$F$4:$F$9,0))</f>
        <v/>
      </c>
      <c r="O119" s="7">
        <f>N119*INDEX(Settings!$H$4:$H$9,MATCH($E119,Settings!$F$4:$F$9,0))</f>
        <v/>
      </c>
      <c r="P119" s="3" t="inlineStr">
        <is>
          <t>HIGH</t>
        </is>
      </c>
      <c r="Q119" s="5" t="inlineStr"/>
    </row>
    <row r="120">
      <c r="A120" s="3" t="n">
        <v>118</v>
      </c>
      <c r="B120" s="13" t="inlineStr">
        <is>
          <t>DST16</t>
        </is>
      </c>
      <c r="C120" s="5" t="inlineStr">
        <is>
          <t>Giants D/ST</t>
        </is>
      </c>
      <c r="D120" s="3" t="inlineStr">
        <is>
          <t>NYG</t>
        </is>
      </c>
      <c r="E120" s="13" t="inlineStr">
        <is>
          <t>DST</t>
        </is>
      </c>
      <c r="F120" s="6" t="n"/>
      <c r="G120" s="6" t="n"/>
      <c r="H120" s="6" t="n"/>
      <c r="I120" s="6" t="n"/>
      <c r="J120" s="6" t="n"/>
      <c r="K120" s="6" t="n">
        <v>2.27</v>
      </c>
      <c r="L120" s="6" t="n">
        <v>0.6</v>
      </c>
      <c r="M120" s="7">
        <f>F120*Settings!$B$4+G120*Settings!$B$5+H120*Settings!$B$6+I120*Settings!$B$7+J120*Settings!$B$8+K120*Settings!$B$9+L120*Settings!$B$10</f>
        <v/>
      </c>
      <c r="N120" s="8">
        <f>M120-INDEX(Settings!$G$4:$G$9,MATCH($E120,Settings!$F$4:$F$9,0))</f>
        <v/>
      </c>
      <c r="O120" s="7">
        <f>N120*INDEX(Settings!$H$4:$H$9,MATCH($E120,Settings!$F$4:$F$9,0))</f>
        <v/>
      </c>
      <c r="P120" s="3" t="inlineStr">
        <is>
          <t>LOW</t>
        </is>
      </c>
      <c r="Q120" s="5" t="inlineStr">
        <is>
          <t>Elite pass rush drives safeties</t>
        </is>
      </c>
    </row>
    <row r="121">
      <c r="A121" s="3" t="n">
        <v>119</v>
      </c>
      <c r="B121" s="13" t="inlineStr">
        <is>
          <t>DST17</t>
        </is>
      </c>
      <c r="C121" s="5" t="inlineStr">
        <is>
          <t>Jets D/ST</t>
        </is>
      </c>
      <c r="D121" s="3" t="inlineStr">
        <is>
          <t>NYJ</t>
        </is>
      </c>
      <c r="E121" s="13" t="inlineStr">
        <is>
          <t>DST</t>
        </is>
      </c>
      <c r="F121" s="6" t="n"/>
      <c r="G121" s="6" t="n"/>
      <c r="H121" s="6" t="n"/>
      <c r="I121" s="6" t="n"/>
      <c r="J121" s="6" t="n"/>
      <c r="K121" s="6" t="n">
        <v>2.3</v>
      </c>
      <c r="L121" s="6" t="n">
        <v>0.45</v>
      </c>
      <c r="M121" s="7">
        <f>F121*Settings!$B$4+G121*Settings!$B$5+H121*Settings!$B$6+I121*Settings!$B$7+J121*Settings!$B$8+K121*Settings!$B$9+L121*Settings!$B$10</f>
        <v/>
      </c>
      <c r="N121" s="8">
        <f>M121-INDEX(Settings!$G$4:$G$9,MATCH($E121,Settings!$F$4:$F$9,0))</f>
        <v/>
      </c>
      <c r="O121" s="7">
        <f>N121*INDEX(Settings!$H$4:$H$9,MATCH($E121,Settings!$F$4:$F$9,0))</f>
        <v/>
      </c>
      <c r="P121" s="3" t="inlineStr">
        <is>
          <t>LOW</t>
        </is>
      </c>
      <c r="Q121" s="5" t="inlineStr">
        <is>
          <t>Best return duo; defense contributes nothing</t>
        </is>
      </c>
    </row>
    <row r="122">
      <c r="A122" s="3" t="n">
        <v>120</v>
      </c>
      <c r="B122" s="13" t="inlineStr">
        <is>
          <t>DST18</t>
        </is>
      </c>
      <c r="C122" s="5" t="inlineStr">
        <is>
          <t>Titans D/ST</t>
        </is>
      </c>
      <c r="D122" s="3" t="inlineStr">
        <is>
          <t>TEN</t>
        </is>
      </c>
      <c r="E122" s="13" t="inlineStr">
        <is>
          <t>DST</t>
        </is>
      </c>
      <c r="F122" s="6" t="n"/>
      <c r="G122" s="6" t="n"/>
      <c r="H122" s="6" t="n"/>
      <c r="I122" s="6" t="n"/>
      <c r="J122" s="6" t="n"/>
      <c r="K122" s="6" t="n">
        <v>2.3</v>
      </c>
      <c r="L122" s="6" t="n">
        <v>0.4</v>
      </c>
      <c r="M122" s="7">
        <f>F122*Settings!$B$4+G122*Settings!$B$5+H122*Settings!$B$6+I122*Settings!$B$7+J122*Settings!$B$8+K122*Settings!$B$9+L122*Settings!$B$10</f>
        <v/>
      </c>
      <c r="N122" s="8">
        <f>M122-INDEX(Settings!$G$4:$G$9,MATCH($E122,Settings!$F$4:$F$9,0))</f>
        <v/>
      </c>
      <c r="O122" s="7">
        <f>N122*INDEX(Settings!$H$4:$H$9,MATCH($E122,Settings!$F$4:$F$9,0))</f>
        <v/>
      </c>
      <c r="P122" s="3" t="inlineStr">
        <is>
          <t>LOW</t>
        </is>
      </c>
      <c r="Q122" s="5" t="inlineStr">
        <is>
          <t>Chimere Dike 2 PR TD 2025; pure return play</t>
        </is>
      </c>
    </row>
    <row r="123">
      <c r="A123" s="3" t="n">
        <v>121</v>
      </c>
      <c r="B123" s="13" t="inlineStr">
        <is>
          <t>DST19</t>
        </is>
      </c>
      <c r="C123" s="5" t="inlineStr">
        <is>
          <t>New Orleans D/ST</t>
        </is>
      </c>
      <c r="D123" s="3" t="inlineStr">
        <is>
          <t>NO</t>
        </is>
      </c>
      <c r="E123" s="13" t="inlineStr">
        <is>
          <t>DST</t>
        </is>
      </c>
      <c r="F123" s="6" t="n"/>
      <c r="G123" s="6" t="n"/>
      <c r="H123" s="6" t="n"/>
      <c r="I123" s="6" t="n"/>
      <c r="J123" s="6" t="n"/>
      <c r="K123" s="6" t="n">
        <v>2.28</v>
      </c>
      <c r="L123" s="6" t="n">
        <v>0.45</v>
      </c>
      <c r="M123" s="7">
        <f>F123*Settings!$B$4+G123*Settings!$B$5+H123*Settings!$B$6+I123*Settings!$B$7+J123*Settings!$B$8+K123*Settings!$B$9+L123*Settings!$B$10</f>
        <v/>
      </c>
      <c r="N123" s="8">
        <f>M123-INDEX(Settings!$G$4:$G$9,MATCH($E123,Settings!$F$4:$F$9,0))</f>
        <v/>
      </c>
      <c r="O123" s="7">
        <f>N123*INDEX(Settings!$H$4:$H$9,MATCH($E123,Settings!$F$4:$F$9,0))</f>
        <v/>
      </c>
      <c r="P123" s="3" t="inlineStr">
        <is>
          <t>LOW</t>
        </is>
      </c>
      <c r="Q123" s="5" t="inlineStr">
        <is>
          <t>3 def TD 2025</t>
        </is>
      </c>
    </row>
    <row r="124">
      <c r="A124" s="3" t="n">
        <v>122</v>
      </c>
      <c r="B124" s="13" t="inlineStr">
        <is>
          <t>DST20</t>
        </is>
      </c>
      <c r="C124" s="5" t="inlineStr">
        <is>
          <t>Bengals D/ST</t>
        </is>
      </c>
      <c r="D124" s="3" t="inlineStr">
        <is>
          <t>CIN</t>
        </is>
      </c>
      <c r="E124" s="13" t="inlineStr">
        <is>
          <t>DST</t>
        </is>
      </c>
      <c r="F124" s="6" t="n"/>
      <c r="G124" s="6" t="n"/>
      <c r="H124" s="6" t="n"/>
      <c r="I124" s="6" t="n"/>
      <c r="J124" s="6" t="n"/>
      <c r="K124" s="6" t="n">
        <v>2.27</v>
      </c>
      <c r="L124" s="6" t="n">
        <v>0.45</v>
      </c>
      <c r="M124" s="7">
        <f>F124*Settings!$B$4+G124*Settings!$B$5+H124*Settings!$B$6+I124*Settings!$B$7+J124*Settings!$B$8+K124*Settings!$B$9+L124*Settings!$B$10</f>
        <v/>
      </c>
      <c r="N124" s="8">
        <f>M124-INDEX(Settings!$G$4:$G$9,MATCH($E124,Settings!$F$4:$F$9,0))</f>
        <v/>
      </c>
      <c r="O124" s="7">
        <f>N124*INDEX(Settings!$H$4:$H$9,MATCH($E124,Settings!$F$4:$F$9,0))</f>
        <v/>
      </c>
      <c r="P124" s="3" t="inlineStr">
        <is>
          <t>MEDIUM</t>
        </is>
      </c>
      <c r="Q124" s="5" t="inlineStr">
        <is>
          <t>Charlie Jones KR TD in both 2024 and 2025</t>
        </is>
      </c>
    </row>
    <row r="125">
      <c r="A125" s="3" t="n">
        <v>123</v>
      </c>
      <c r="B125" s="13" t="inlineStr">
        <is>
          <t>DST21</t>
        </is>
      </c>
      <c r="C125" s="5" t="inlineStr">
        <is>
          <t>Dolphins D/ST</t>
        </is>
      </c>
      <c r="D125" s="3" t="inlineStr">
        <is>
          <t>MIA</t>
        </is>
      </c>
      <c r="E125" s="13" t="inlineStr">
        <is>
          <t>DST</t>
        </is>
      </c>
      <c r="F125" s="6" t="n"/>
      <c r="G125" s="6" t="n"/>
      <c r="H125" s="6" t="n"/>
      <c r="I125" s="6" t="n"/>
      <c r="J125" s="6" t="n"/>
      <c r="K125" s="6" t="n">
        <v>2.27</v>
      </c>
      <c r="L125" s="6" t="n">
        <v>0.4</v>
      </c>
      <c r="M125" s="7">
        <f>F125*Settings!$B$4+G125*Settings!$B$5+H125*Settings!$B$6+I125*Settings!$B$7+J125*Settings!$B$8+K125*Settings!$B$9+L125*Settings!$B$10</f>
        <v/>
      </c>
      <c r="N125" s="8">
        <f>M125-INDEX(Settings!$G$4:$G$9,MATCH($E125,Settings!$F$4:$F$9,0))</f>
        <v/>
      </c>
      <c r="O125" s="7">
        <f>N125*INDEX(Settings!$H$4:$H$9,MATCH($E125,Settings!$F$4:$F$9,0))</f>
        <v/>
      </c>
      <c r="P125" s="3" t="inlineStr">
        <is>
          <t>LOW</t>
        </is>
      </c>
      <c r="Q125" s="5" t="inlineStr">
        <is>
          <t>0 def TD in 2024 AND 2025</t>
        </is>
      </c>
    </row>
    <row r="126">
      <c r="A126" s="3" t="n">
        <v>124</v>
      </c>
      <c r="B126" s="11" t="inlineStr">
        <is>
          <t>K16</t>
        </is>
      </c>
      <c r="C126" s="5" t="inlineStr">
        <is>
          <t>Nick Folk</t>
        </is>
      </c>
      <c r="D126" s="3" t="inlineStr">
        <is>
          <t>ATL</t>
        </is>
      </c>
      <c r="E126" s="11" t="inlineStr">
        <is>
          <t>K</t>
        </is>
      </c>
      <c r="F126" s="6" t="n"/>
      <c r="G126" s="6" t="n"/>
      <c r="H126" s="6" t="n"/>
      <c r="I126" s="6" t="n">
        <v>30</v>
      </c>
      <c r="J126" s="6" t="n">
        <v>41</v>
      </c>
      <c r="K126" s="6" t="n"/>
      <c r="L126" s="6" t="n"/>
      <c r="M126" s="7">
        <f>F126*Settings!$B$4+G126*Settings!$B$5+H126*Settings!$B$6+I126*Settings!$B$7+J126*Settings!$B$8+K126*Settings!$B$9+L126*Settings!$B$10</f>
        <v/>
      </c>
      <c r="N126" s="8">
        <f>M126-INDEX(Settings!$G$4:$G$9,MATCH($E126,Settings!$F$4:$F$9,0))</f>
        <v/>
      </c>
      <c r="O126" s="7">
        <f>N126*INDEX(Settings!$H$4:$H$9,MATCH($E126,Settings!$F$4:$F$9,0))</f>
        <v/>
      </c>
      <c r="P126" s="3" t="inlineStr">
        <is>
          <t>MEDIUM</t>
        </is>
      </c>
      <c r="Q126" s="5" t="inlineStr">
        <is>
          <t>Age risk</t>
        </is>
      </c>
    </row>
    <row r="127">
      <c r="A127" s="3" t="n">
        <v>125</v>
      </c>
      <c r="B127" s="13" t="inlineStr">
        <is>
          <t>DST22</t>
        </is>
      </c>
      <c r="C127" s="5" t="inlineStr">
        <is>
          <t>Panthers D/ST</t>
        </is>
      </c>
      <c r="D127" s="3" t="inlineStr">
        <is>
          <t>CAR</t>
        </is>
      </c>
      <c r="E127" s="13" t="inlineStr">
        <is>
          <t>DST</t>
        </is>
      </c>
      <c r="F127" s="6" t="n"/>
      <c r="G127" s="6" t="n"/>
      <c r="H127" s="6" t="n"/>
      <c r="I127" s="6" t="n"/>
      <c r="J127" s="6" t="n"/>
      <c r="K127" s="6" t="n">
        <v>2.12</v>
      </c>
      <c r="L127" s="6" t="n">
        <v>0.45</v>
      </c>
      <c r="M127" s="7">
        <f>F127*Settings!$B$4+G127*Settings!$B$5+H127*Settings!$B$6+I127*Settings!$B$7+J127*Settings!$B$8+K127*Settings!$B$9+L127*Settings!$B$10</f>
        <v/>
      </c>
      <c r="N127" s="8">
        <f>M127-INDEX(Settings!$G$4:$G$9,MATCH($E127,Settings!$F$4:$F$9,0))</f>
        <v/>
      </c>
      <c r="O127" s="7">
        <f>N127*INDEX(Settings!$H$4:$H$9,MATCH($E127,Settings!$F$4:$F$9,0))</f>
        <v/>
      </c>
      <c r="P127" s="3" t="inlineStr">
        <is>
          <t>LOW</t>
        </is>
      </c>
      <c r="Q127" s="5" t="inlineStr"/>
    </row>
    <row r="128">
      <c r="A128" s="3" t="n">
        <v>126</v>
      </c>
      <c r="B128" s="13" t="inlineStr">
        <is>
          <t>DST23</t>
        </is>
      </c>
      <c r="C128" s="5" t="inlineStr">
        <is>
          <t>Buccaneers D/ST</t>
        </is>
      </c>
      <c r="D128" s="3" t="inlineStr">
        <is>
          <t>TB</t>
        </is>
      </c>
      <c r="E128" s="13" t="inlineStr">
        <is>
          <t>DST</t>
        </is>
      </c>
      <c r="F128" s="6" t="n"/>
      <c r="G128" s="6" t="n"/>
      <c r="H128" s="6" t="n"/>
      <c r="I128" s="6" t="n"/>
      <c r="J128" s="6" t="n"/>
      <c r="K128" s="6" t="n">
        <v>2.12</v>
      </c>
      <c r="L128" s="6" t="n">
        <v>0.45</v>
      </c>
      <c r="M128" s="7">
        <f>F128*Settings!$B$4+G128*Settings!$B$5+H128*Settings!$B$6+I128*Settings!$B$7+J128*Settings!$B$8+K128*Settings!$B$9+L128*Settings!$B$10</f>
        <v/>
      </c>
      <c r="N128" s="8">
        <f>M128-INDEX(Settings!$G$4:$G$9,MATCH($E128,Settings!$F$4:$F$9,0))</f>
        <v/>
      </c>
      <c r="O128" s="7">
        <f>N128*INDEX(Settings!$H$4:$H$9,MATCH($E128,Settings!$F$4:$F$9,0))</f>
        <v/>
      </c>
      <c r="P128" s="3" t="inlineStr">
        <is>
          <t>MEDIUM</t>
        </is>
      </c>
      <c r="Q128" s="5" t="inlineStr"/>
    </row>
    <row r="129">
      <c r="A129" s="3" t="n">
        <v>127</v>
      </c>
      <c r="B129" s="13" t="inlineStr">
        <is>
          <t>DST24</t>
        </is>
      </c>
      <c r="C129" s="5" t="inlineStr">
        <is>
          <t>Chiefs D/ST</t>
        </is>
      </c>
      <c r="D129" s="3" t="inlineStr">
        <is>
          <t>KC</t>
        </is>
      </c>
      <c r="E129" s="13" t="inlineStr">
        <is>
          <t>DST</t>
        </is>
      </c>
      <c r="F129" s="6" t="n"/>
      <c r="G129" s="6" t="n"/>
      <c r="H129" s="6" t="n"/>
      <c r="I129" s="6" t="n"/>
      <c r="J129" s="6" t="n"/>
      <c r="K129" s="6" t="n">
        <v>2.1</v>
      </c>
      <c r="L129" s="6" t="n">
        <v>0.5</v>
      </c>
      <c r="M129" s="7">
        <f>F129*Settings!$B$4+G129*Settings!$B$5+H129*Settings!$B$6+I129*Settings!$B$7+J129*Settings!$B$8+K129*Settings!$B$9+L129*Settings!$B$10</f>
        <v/>
      </c>
      <c r="N129" s="8">
        <f>M129-INDEX(Settings!$G$4:$G$9,MATCH($E129,Settings!$F$4:$F$9,0))</f>
        <v/>
      </c>
      <c r="O129" s="7">
        <f>N129*INDEX(Settings!$H$4:$H$9,MATCH($E129,Settings!$F$4:$F$9,0))</f>
        <v/>
      </c>
      <c r="P129" s="3" t="inlineStr">
        <is>
          <t>MEDIUM</t>
        </is>
      </c>
      <c r="Q129" s="5" t="inlineStr">
        <is>
          <t>0 def TD in 2025; low variance</t>
        </is>
      </c>
    </row>
    <row r="130">
      <c r="A130" s="3" t="n">
        <v>128</v>
      </c>
      <c r="B130" s="10" t="inlineStr">
        <is>
          <t>WR30</t>
        </is>
      </c>
      <c r="C130" s="5" t="inlineStr">
        <is>
          <t>Quentin Johnston</t>
        </is>
      </c>
      <c r="D130" s="3" t="inlineStr">
        <is>
          <t>LAC</t>
        </is>
      </c>
      <c r="E130" s="10" t="inlineStr">
        <is>
          <t>WR</t>
        </is>
      </c>
      <c r="F130" s="6" t="n"/>
      <c r="G130" s="6" t="n">
        <v>0.1</v>
      </c>
      <c r="H130" s="6" t="n">
        <v>5.8</v>
      </c>
      <c r="I130" s="6" t="n"/>
      <c r="J130" s="6" t="n"/>
      <c r="K130" s="6" t="n"/>
      <c r="L130" s="6" t="n"/>
      <c r="M130" s="7">
        <f>F130*Settings!$B$4+G130*Settings!$B$5+H130*Settings!$B$6+I130*Settings!$B$7+J130*Settings!$B$8+K130*Settings!$B$9+L130*Settings!$B$10</f>
        <v/>
      </c>
      <c r="N130" s="8">
        <f>M130-INDEX(Settings!$G$4:$G$9,MATCH($E130,Settings!$F$4:$F$9,0))</f>
        <v/>
      </c>
      <c r="O130" s="7">
        <f>N130*INDEX(Settings!$H$4:$H$9,MATCH($E130,Settings!$F$4:$F$9,0))</f>
        <v/>
      </c>
      <c r="P130" s="3" t="inlineStr">
        <is>
          <t>HIGH</t>
        </is>
      </c>
      <c r="Q130" s="5" t="inlineStr"/>
    </row>
    <row r="131">
      <c r="A131" s="3" t="n">
        <v>129</v>
      </c>
      <c r="B131" s="9" t="inlineStr">
        <is>
          <t>RB29</t>
        </is>
      </c>
      <c r="C131" s="5" t="inlineStr">
        <is>
          <t>Jacory Croskey-Merritt</t>
        </is>
      </c>
      <c r="D131" s="3" t="inlineStr">
        <is>
          <t>WAS</t>
        </is>
      </c>
      <c r="E131" s="9" t="inlineStr">
        <is>
          <t>RB</t>
        </is>
      </c>
      <c r="F131" s="6" t="n"/>
      <c r="G131" s="6" t="n">
        <v>7.2</v>
      </c>
      <c r="H131" s="6" t="n">
        <v>0.3</v>
      </c>
      <c r="I131" s="6" t="n"/>
      <c r="J131" s="6" t="n"/>
      <c r="K131" s="6" t="n"/>
      <c r="L131" s="6" t="n"/>
      <c r="M131" s="7">
        <f>F131*Settings!$B$4+G131*Settings!$B$5+H131*Settings!$B$6+I131*Settings!$B$7+J131*Settings!$B$8+K131*Settings!$B$9+L131*Settings!$B$10</f>
        <v/>
      </c>
      <c r="N131" s="8">
        <f>M131-INDEX(Settings!$G$4:$G$9,MATCH($E131,Settings!$F$4:$F$9,0))</f>
        <v/>
      </c>
      <c r="O131" s="7">
        <f>N131*INDEX(Settings!$H$4:$H$9,MATCH($E131,Settings!$F$4:$F$9,0))</f>
        <v/>
      </c>
      <c r="P131" s="3" t="inlineStr">
        <is>
          <t>HIGH</t>
        </is>
      </c>
      <c r="Q131" s="5" t="inlineStr">
        <is>
          <t>Goal-line yes but rookie Kaytron Allen vultures</t>
        </is>
      </c>
    </row>
    <row r="132">
      <c r="A132" s="3" t="n">
        <v>130</v>
      </c>
      <c r="B132" s="13" t="inlineStr">
        <is>
          <t>DST25</t>
        </is>
      </c>
      <c r="C132" s="5" t="inlineStr">
        <is>
          <t>Eagles D/ST</t>
        </is>
      </c>
      <c r="D132" s="3" t="inlineStr">
        <is>
          <t>PHI</t>
        </is>
      </c>
      <c r="E132" s="13" t="inlineStr">
        <is>
          <t>DST</t>
        </is>
      </c>
      <c r="F132" s="6" t="n"/>
      <c r="G132" s="6" t="n"/>
      <c r="H132" s="6" t="n"/>
      <c r="I132" s="6" t="n"/>
      <c r="J132" s="6" t="n"/>
      <c r="K132" s="6" t="n">
        <v>2.03</v>
      </c>
      <c r="L132" s="6" t="n">
        <v>0.6</v>
      </c>
      <c r="M132" s="7">
        <f>F132*Settings!$B$4+G132*Settings!$B$5+H132*Settings!$B$6+I132*Settings!$B$7+J132*Settings!$B$8+K132*Settings!$B$9+L132*Settings!$B$10</f>
        <v/>
      </c>
      <c r="N132" s="8">
        <f>M132-INDEX(Settings!$G$4:$G$9,MATCH($E132,Settings!$F$4:$F$9,0))</f>
        <v/>
      </c>
      <c r="O132" s="7">
        <f>N132*INDEX(Settings!$H$4:$H$9,MATCH($E132,Settings!$F$4:$F$9,0))</f>
        <v/>
      </c>
      <c r="P132" s="3" t="inlineStr">
        <is>
          <t>MEDIUM</t>
        </is>
      </c>
      <c r="Q132" s="5" t="inlineStr">
        <is>
          <t>TRAP: great real defense but no return game</t>
        </is>
      </c>
    </row>
    <row r="133">
      <c r="A133" s="3" t="n">
        <v>131</v>
      </c>
      <c r="B133" s="13" t="inlineStr">
        <is>
          <t>DST26</t>
        </is>
      </c>
      <c r="C133" s="5" t="inlineStr">
        <is>
          <t>49ers D/ST</t>
        </is>
      </c>
      <c r="D133" s="3" t="inlineStr">
        <is>
          <t>SF</t>
        </is>
      </c>
      <c r="E133" s="13" t="inlineStr">
        <is>
          <t>DST</t>
        </is>
      </c>
      <c r="F133" s="6" t="n"/>
      <c r="G133" s="6" t="n"/>
      <c r="H133" s="6" t="n"/>
      <c r="I133" s="6" t="n"/>
      <c r="J133" s="6" t="n"/>
      <c r="K133" s="6" t="n">
        <v>1.95</v>
      </c>
      <c r="L133" s="6" t="n">
        <v>0.55</v>
      </c>
      <c r="M133" s="7">
        <f>F133*Settings!$B$4+G133*Settings!$B$5+H133*Settings!$B$6+I133*Settings!$B$7+J133*Settings!$B$8+K133*Settings!$B$9+L133*Settings!$B$10</f>
        <v/>
      </c>
      <c r="N133" s="8">
        <f>M133-INDEX(Settings!$G$4:$G$9,MATCH($E133,Settings!$F$4:$F$9,0))</f>
        <v/>
      </c>
      <c r="O133" s="7">
        <f>N133*INDEX(Settings!$H$4:$H$9,MATCH($E133,Settings!$F$4:$F$9,0))</f>
        <v/>
      </c>
      <c r="P133" s="3" t="inlineStr">
        <is>
          <t>MEDIUM</t>
        </is>
      </c>
      <c r="Q133" s="5" t="inlineStr">
        <is>
          <t>Exactly 1 def TD each of last 3 yrs</t>
        </is>
      </c>
    </row>
    <row r="134">
      <c r="A134" s="3" t="n">
        <v>132</v>
      </c>
      <c r="B134" s="13" t="inlineStr">
        <is>
          <t>DST27</t>
        </is>
      </c>
      <c r="C134" s="5" t="inlineStr">
        <is>
          <t>Cardinals D/ST</t>
        </is>
      </c>
      <c r="D134" s="3" t="inlineStr">
        <is>
          <t>ARI</t>
        </is>
      </c>
      <c r="E134" s="13" t="inlineStr">
        <is>
          <t>DST</t>
        </is>
      </c>
      <c r="F134" s="6" t="n"/>
      <c r="G134" s="6" t="n"/>
      <c r="H134" s="6" t="n"/>
      <c r="I134" s="6" t="n"/>
      <c r="J134" s="6" t="n"/>
      <c r="K134" s="6" t="n">
        <v>1.95</v>
      </c>
      <c r="L134" s="6" t="n">
        <v>0.5</v>
      </c>
      <c r="M134" s="7">
        <f>F134*Settings!$B$4+G134*Settings!$B$5+H134*Settings!$B$6+I134*Settings!$B$7+J134*Settings!$B$8+K134*Settings!$B$9+L134*Settings!$B$10</f>
        <v/>
      </c>
      <c r="N134" s="8">
        <f>M134-INDEX(Settings!$G$4:$G$9,MATCH($E134,Settings!$F$4:$F$9,0))</f>
        <v/>
      </c>
      <c r="O134" s="7">
        <f>N134*INDEX(Settings!$H$4:$H$9,MATCH($E134,Settings!$F$4:$F$9,0))</f>
        <v/>
      </c>
      <c r="P134" s="3" t="inlineStr">
        <is>
          <t>LOW</t>
        </is>
      </c>
      <c r="Q134" s="5" t="inlineStr"/>
    </row>
    <row r="135">
      <c r="A135" s="3" t="n">
        <v>133</v>
      </c>
      <c r="B135" s="11" t="inlineStr">
        <is>
          <t>K17</t>
        </is>
      </c>
      <c r="C135" s="5" t="inlineStr">
        <is>
          <t>Eddy Pineiro</t>
        </is>
      </c>
      <c r="D135" s="3" t="inlineStr">
        <is>
          <t>SF</t>
        </is>
      </c>
      <c r="E135" s="11" t="inlineStr">
        <is>
          <t>K</t>
        </is>
      </c>
      <c r="F135" s="6" t="n"/>
      <c r="G135" s="6" t="n"/>
      <c r="H135" s="6" t="n"/>
      <c r="I135" s="6" t="n">
        <v>31</v>
      </c>
      <c r="J135" s="6" t="n">
        <v>37</v>
      </c>
      <c r="K135" s="6" t="n"/>
      <c r="L135" s="6" t="n"/>
      <c r="M135" s="7">
        <f>F135*Settings!$B$4+G135*Settings!$B$5+H135*Settings!$B$6+I135*Settings!$B$7+J135*Settings!$B$8+K135*Settings!$B$9+L135*Settings!$B$10</f>
        <v/>
      </c>
      <c r="N135" s="8">
        <f>M135-INDEX(Settings!$G$4:$G$9,MATCH($E135,Settings!$F$4:$F$9,0))</f>
        <v/>
      </c>
      <c r="O135" s="7">
        <f>N135*INDEX(Settings!$H$4:$H$9,MATCH($E135,Settings!$F$4:$F$9,0))</f>
        <v/>
      </c>
      <c r="P135" s="3" t="inlineStr">
        <is>
          <t>MEDIUM</t>
        </is>
      </c>
      <c r="Q135" s="5" t="inlineStr"/>
    </row>
    <row r="136">
      <c r="A136" s="3" t="n">
        <v>134</v>
      </c>
      <c r="B136" s="13" t="inlineStr">
        <is>
          <t>DST28</t>
        </is>
      </c>
      <c r="C136" s="5" t="inlineStr">
        <is>
          <t>Rams D/ST</t>
        </is>
      </c>
      <c r="D136" s="3" t="inlineStr">
        <is>
          <t>LAR</t>
        </is>
      </c>
      <c r="E136" s="13" t="inlineStr">
        <is>
          <t>DST</t>
        </is>
      </c>
      <c r="F136" s="6" t="n"/>
      <c r="G136" s="6" t="n"/>
      <c r="H136" s="6" t="n"/>
      <c r="I136" s="6" t="n"/>
      <c r="J136" s="6" t="n"/>
      <c r="K136" s="6" t="n">
        <v>1.87</v>
      </c>
      <c r="L136" s="6" t="n">
        <v>0.5</v>
      </c>
      <c r="M136" s="7">
        <f>F136*Settings!$B$4+G136*Settings!$B$5+H136*Settings!$B$6+I136*Settings!$B$7+J136*Settings!$B$8+K136*Settings!$B$9+L136*Settings!$B$10</f>
        <v/>
      </c>
      <c r="N136" s="8">
        <f>M136-INDEX(Settings!$G$4:$G$9,MATCH($E136,Settings!$F$4:$F$9,0))</f>
        <v/>
      </c>
      <c r="O136" s="7">
        <f>N136*INDEX(Settings!$H$4:$H$9,MATCH($E136,Settings!$F$4:$F$9,0))</f>
        <v/>
      </c>
      <c r="P136" s="3" t="inlineStr">
        <is>
          <t>MEDIUM</t>
        </is>
      </c>
      <c r="Q136" s="5" t="inlineStr">
        <is>
          <t>Weak returners</t>
        </is>
      </c>
    </row>
    <row r="137">
      <c r="A137" s="3" t="n">
        <v>135</v>
      </c>
      <c r="B137" s="12" t="inlineStr">
        <is>
          <t>TE16</t>
        </is>
      </c>
      <c r="C137" s="5" t="inlineStr">
        <is>
          <t>AJ Barner</t>
        </is>
      </c>
      <c r="D137" s="3" t="inlineStr">
        <is>
          <t>SEA</t>
        </is>
      </c>
      <c r="E137" s="12" t="inlineStr">
        <is>
          <t>TE</t>
        </is>
      </c>
      <c r="F137" s="6" t="n"/>
      <c r="G137" s="6" t="n">
        <v>0.2</v>
      </c>
      <c r="H137" s="6" t="n">
        <v>3.8</v>
      </c>
      <c r="I137" s="6" t="n"/>
      <c r="J137" s="6" t="n"/>
      <c r="K137" s="6" t="n"/>
      <c r="L137" s="6" t="n"/>
      <c r="M137" s="7">
        <f>F137*Settings!$B$4+G137*Settings!$B$5+H137*Settings!$B$6+I137*Settings!$B$7+J137*Settings!$B$8+K137*Settings!$B$9+L137*Settings!$B$10</f>
        <v/>
      </c>
      <c r="N137" s="8">
        <f>M137-INDEX(Settings!$G$4:$G$9,MATCH($E137,Settings!$F$4:$F$9,0))</f>
        <v/>
      </c>
      <c r="O137" s="7">
        <f>N137*INDEX(Settings!$H$4:$H$9,MATCH($E137,Settings!$F$4:$F$9,0))</f>
        <v/>
      </c>
      <c r="P137" s="3" t="inlineStr">
        <is>
          <t>HIGH</t>
        </is>
      </c>
      <c r="Q137" s="5" t="inlineStr"/>
    </row>
    <row r="138">
      <c r="A138" s="3" t="n">
        <v>136</v>
      </c>
      <c r="B138" s="12" t="inlineStr">
        <is>
          <t>TE17</t>
        </is>
      </c>
      <c r="C138" s="5" t="inlineStr">
        <is>
          <t>Brenton Strange</t>
        </is>
      </c>
      <c r="D138" s="3" t="inlineStr">
        <is>
          <t>JAX</t>
        </is>
      </c>
      <c r="E138" s="12" t="inlineStr">
        <is>
          <t>TE</t>
        </is>
      </c>
      <c r="F138" s="6" t="n"/>
      <c r="G138" s="6" t="n"/>
      <c r="H138" s="6" t="n">
        <v>4</v>
      </c>
      <c r="I138" s="6" t="n"/>
      <c r="J138" s="6" t="n"/>
      <c r="K138" s="6" t="n"/>
      <c r="L138" s="6" t="n"/>
      <c r="M138" s="7">
        <f>F138*Settings!$B$4+G138*Settings!$B$5+H138*Settings!$B$6+I138*Settings!$B$7+J138*Settings!$B$8+K138*Settings!$B$9+L138*Settings!$B$10</f>
        <v/>
      </c>
      <c r="N138" s="8">
        <f>M138-INDEX(Settings!$G$4:$G$9,MATCH($E138,Settings!$F$4:$F$9,0))</f>
        <v/>
      </c>
      <c r="O138" s="7">
        <f>N138*INDEX(Settings!$H$4:$H$9,MATCH($E138,Settings!$F$4:$F$9,0))</f>
        <v/>
      </c>
      <c r="P138" s="3" t="inlineStr">
        <is>
          <t>HIGH</t>
        </is>
      </c>
      <c r="Q138" s="5" t="inlineStr"/>
    </row>
    <row r="139">
      <c r="A139" s="3" t="n">
        <v>137</v>
      </c>
      <c r="B139" s="12" t="inlineStr">
        <is>
          <t>TE18</t>
        </is>
      </c>
      <c r="C139" s="5" t="inlineStr">
        <is>
          <t>Darren Waller</t>
        </is>
      </c>
      <c r="D139" s="3" t="inlineStr">
        <is>
          <t>CAR</t>
        </is>
      </c>
      <c r="E139" s="12" t="inlineStr">
        <is>
          <t>TE</t>
        </is>
      </c>
      <c r="F139" s="6" t="n"/>
      <c r="G139" s="6" t="n"/>
      <c r="H139" s="6" t="n">
        <v>4</v>
      </c>
      <c r="I139" s="6" t="n"/>
      <c r="J139" s="6" t="n"/>
      <c r="K139" s="6" t="n"/>
      <c r="L139" s="6" t="n"/>
      <c r="M139" s="7">
        <f>F139*Settings!$B$4+G139*Settings!$B$5+H139*Settings!$B$6+I139*Settings!$B$7+J139*Settings!$B$8+K139*Settings!$B$9+L139*Settings!$B$10</f>
        <v/>
      </c>
      <c r="N139" s="8">
        <f>M139-INDEX(Settings!$G$4:$G$9,MATCH($E139,Settings!$F$4:$F$9,0))</f>
        <v/>
      </c>
      <c r="O139" s="7">
        <f>N139*INDEX(Settings!$H$4:$H$9,MATCH($E139,Settings!$F$4:$F$9,0))</f>
        <v/>
      </c>
      <c r="P139" s="3" t="inlineStr">
        <is>
          <t>HIGH</t>
        </is>
      </c>
      <c r="Q139" s="5" t="inlineStr"/>
    </row>
    <row r="140">
      <c r="A140" s="3" t="n">
        <v>138</v>
      </c>
      <c r="B140" s="12" t="inlineStr">
        <is>
          <t>TE19</t>
        </is>
      </c>
      <c r="C140" s="5" t="inlineStr">
        <is>
          <t>Isaiah Likely</t>
        </is>
      </c>
      <c r="D140" s="3" t="inlineStr">
        <is>
          <t>NYG</t>
        </is>
      </c>
      <c r="E140" s="12" t="inlineStr">
        <is>
          <t>TE</t>
        </is>
      </c>
      <c r="F140" s="6" t="n"/>
      <c r="G140" s="6" t="n"/>
      <c r="H140" s="6" t="n">
        <v>4</v>
      </c>
      <c r="I140" s="6" t="n"/>
      <c r="J140" s="6" t="n"/>
      <c r="K140" s="6" t="n"/>
      <c r="L140" s="6" t="n"/>
      <c r="M140" s="7">
        <f>F140*Settings!$B$4+G140*Settings!$B$5+H140*Settings!$B$6+I140*Settings!$B$7+J140*Settings!$B$8+K140*Settings!$B$9+L140*Settings!$B$10</f>
        <v/>
      </c>
      <c r="N140" s="8">
        <f>M140-INDEX(Settings!$G$4:$G$9,MATCH($E140,Settings!$F$4:$F$9,0))</f>
        <v/>
      </c>
      <c r="O140" s="7">
        <f>N140*INDEX(Settings!$H$4:$H$9,MATCH($E140,Settings!$F$4:$F$9,0))</f>
        <v/>
      </c>
      <c r="P140" s="3" t="inlineStr">
        <is>
          <t>HIGH</t>
        </is>
      </c>
      <c r="Q140" s="5" t="inlineStr"/>
    </row>
    <row r="141">
      <c r="A141" s="3" t="n">
        <v>139</v>
      </c>
      <c r="B141" s="13" t="inlineStr">
        <is>
          <t>DST29</t>
        </is>
      </c>
      <c r="C141" s="5" t="inlineStr">
        <is>
          <t>Lions D/ST</t>
        </is>
      </c>
      <c r="D141" s="3" t="inlineStr">
        <is>
          <t>DET</t>
        </is>
      </c>
      <c r="E141" s="13" t="inlineStr">
        <is>
          <t>DST</t>
        </is>
      </c>
      <c r="F141" s="6" t="n"/>
      <c r="G141" s="6" t="n"/>
      <c r="H141" s="6" t="n"/>
      <c r="I141" s="6" t="n"/>
      <c r="J141" s="6" t="n"/>
      <c r="K141" s="6" t="n">
        <v>1.78</v>
      </c>
      <c r="L141" s="6" t="n">
        <v>0.45</v>
      </c>
      <c r="M141" s="7">
        <f>F141*Settings!$B$4+G141*Settings!$B$5+H141*Settings!$B$6+I141*Settings!$B$7+J141*Settings!$B$8+K141*Settings!$B$9+L141*Settings!$B$10</f>
        <v/>
      </c>
      <c r="N141" s="8">
        <f>M141-INDEX(Settings!$G$4:$G$9,MATCH($E141,Settings!$F$4:$F$9,0))</f>
        <v/>
      </c>
      <c r="O141" s="7">
        <f>N141*INDEX(Settings!$H$4:$H$9,MATCH($E141,Settings!$F$4:$F$9,0))</f>
        <v/>
      </c>
      <c r="P141" s="3" t="inlineStr">
        <is>
          <t>MEDIUM</t>
        </is>
      </c>
      <c r="Q141" s="5" t="inlineStr">
        <is>
          <t>Only 2 def TD in 3 seasons</t>
        </is>
      </c>
    </row>
    <row r="142">
      <c r="A142" s="3" t="n">
        <v>140</v>
      </c>
      <c r="B142" s="13" t="inlineStr">
        <is>
          <t>DST30</t>
        </is>
      </c>
      <c r="C142" s="5" t="inlineStr">
        <is>
          <t>Commanders D/ST</t>
        </is>
      </c>
      <c r="D142" s="3" t="inlineStr">
        <is>
          <t>WAS</t>
        </is>
      </c>
      <c r="E142" s="13" t="inlineStr">
        <is>
          <t>DST</t>
        </is>
      </c>
      <c r="F142" s="6" t="n"/>
      <c r="G142" s="6" t="n"/>
      <c r="H142" s="6" t="n"/>
      <c r="I142" s="6" t="n"/>
      <c r="J142" s="6" t="n"/>
      <c r="K142" s="6" t="n">
        <v>1.77</v>
      </c>
      <c r="L142" s="6" t="n">
        <v>0.4</v>
      </c>
      <c r="M142" s="7">
        <f>F142*Settings!$B$4+G142*Settings!$B$5+H142*Settings!$B$6+I142*Settings!$B$7+J142*Settings!$B$8+K142*Settings!$B$9+L142*Settings!$B$10</f>
        <v/>
      </c>
      <c r="N142" s="8">
        <f>M142-INDEX(Settings!$G$4:$G$9,MATCH($E142,Settings!$F$4:$F$9,0))</f>
        <v/>
      </c>
      <c r="O142" s="7">
        <f>N142*INDEX(Settings!$H$4:$H$9,MATCH($E142,Settings!$F$4:$F$9,0))</f>
        <v/>
      </c>
      <c r="P142" s="3" t="inlineStr">
        <is>
          <t>LOW</t>
        </is>
      </c>
      <c r="Q142" s="5" t="inlineStr">
        <is>
          <t>1 def TD in 3 years</t>
        </is>
      </c>
    </row>
    <row r="143">
      <c r="A143" s="3" t="n">
        <v>141</v>
      </c>
      <c r="B143" s="13" t="inlineStr">
        <is>
          <t>DST31</t>
        </is>
      </c>
      <c r="C143" s="5" t="inlineStr">
        <is>
          <t>Packers D/ST</t>
        </is>
      </c>
      <c r="D143" s="3" t="inlineStr">
        <is>
          <t>GB</t>
        </is>
      </c>
      <c r="E143" s="13" t="inlineStr">
        <is>
          <t>DST</t>
        </is>
      </c>
      <c r="F143" s="6" t="n"/>
      <c r="G143" s="6" t="n"/>
      <c r="H143" s="6" t="n"/>
      <c r="I143" s="6" t="n"/>
      <c r="J143" s="6" t="n"/>
      <c r="K143" s="6" t="n">
        <v>1.7</v>
      </c>
      <c r="L143" s="6" t="n">
        <v>0.55</v>
      </c>
      <c r="M143" s="7">
        <f>F143*Settings!$B$4+G143*Settings!$B$5+H143*Settings!$B$6+I143*Settings!$B$7+J143*Settings!$B$8+K143*Settings!$B$9+L143*Settings!$B$10</f>
        <v/>
      </c>
      <c r="N143" s="8">
        <f>M143-INDEX(Settings!$G$4:$G$9,MATCH($E143,Settings!$F$4:$F$9,0))</f>
        <v/>
      </c>
      <c r="O143" s="7">
        <f>N143*INDEX(Settings!$H$4:$H$9,MATCH($E143,Settings!$F$4:$F$9,0))</f>
        <v/>
      </c>
      <c r="P143" s="3" t="inlineStr">
        <is>
          <t>MEDIUM</t>
        </is>
      </c>
      <c r="Q143" s="5" t="inlineStr">
        <is>
          <t>0 def TD 2025; poor returner</t>
        </is>
      </c>
    </row>
    <row r="144">
      <c r="A144" s="3" t="n">
        <v>142</v>
      </c>
      <c r="B144" s="13" t="inlineStr">
        <is>
          <t>DST32</t>
        </is>
      </c>
      <c r="C144" s="5" t="inlineStr">
        <is>
          <t>Chargers D/ST</t>
        </is>
      </c>
      <c r="D144" s="3" t="inlineStr">
        <is>
          <t>LAC</t>
        </is>
      </c>
      <c r="E144" s="13" t="inlineStr">
        <is>
          <t>DST</t>
        </is>
      </c>
      <c r="F144" s="6" t="n"/>
      <c r="G144" s="6" t="n"/>
      <c r="H144" s="6" t="n"/>
      <c r="I144" s="6" t="n"/>
      <c r="J144" s="6" t="n"/>
      <c r="K144" s="6" t="n">
        <v>1.62</v>
      </c>
      <c r="L144" s="6" t="n">
        <v>0.5</v>
      </c>
      <c r="M144" s="7">
        <f>F144*Settings!$B$4+G144*Settings!$B$5+H144*Settings!$B$6+I144*Settings!$B$7+J144*Settings!$B$8+K144*Settings!$B$9+L144*Settings!$B$10</f>
        <v/>
      </c>
      <c r="N144" s="8">
        <f>M144-INDEX(Settings!$G$4:$G$9,MATCH($E144,Settings!$F$4:$F$9,0))</f>
        <v/>
      </c>
      <c r="O144" s="7">
        <f>N144*INDEX(Settings!$H$4:$H$9,MATCH($E144,Settings!$F$4:$F$9,0))</f>
        <v/>
      </c>
      <c r="P144" s="3" t="inlineStr">
        <is>
          <t>MEDIUM</t>
        </is>
      </c>
      <c r="Q144" s="5" t="inlineStr">
        <is>
          <t>1 def TD in 3 seasons; 19 INTs to 0 INT TD</t>
        </is>
      </c>
    </row>
    <row r="145">
      <c r="A145" s="3" t="n">
        <v>143</v>
      </c>
      <c r="B145" s="12" t="inlineStr">
        <is>
          <t>TE20</t>
        </is>
      </c>
      <c r="C145" s="5" t="inlineStr">
        <is>
          <t>Mike Gesicki</t>
        </is>
      </c>
      <c r="D145" s="3" t="inlineStr">
        <is>
          <t>CIN</t>
        </is>
      </c>
      <c r="E145" s="12" t="inlineStr">
        <is>
          <t>TE</t>
        </is>
      </c>
      <c r="F145" s="6" t="n"/>
      <c r="G145" s="6" t="n"/>
      <c r="H145" s="6" t="n">
        <v>3.9</v>
      </c>
      <c r="I145" s="6" t="n"/>
      <c r="J145" s="6" t="n"/>
      <c r="K145" s="6" t="n"/>
      <c r="L145" s="6" t="n"/>
      <c r="M145" s="7">
        <f>F145*Settings!$B$4+G145*Settings!$B$5+H145*Settings!$B$6+I145*Settings!$B$7+J145*Settings!$B$8+K145*Settings!$B$9+L145*Settings!$B$10</f>
        <v/>
      </c>
      <c r="N145" s="8">
        <f>M145-INDEX(Settings!$G$4:$G$9,MATCH($E145,Settings!$F$4:$F$9,0))</f>
        <v/>
      </c>
      <c r="O145" s="7">
        <f>N145*INDEX(Settings!$H$4:$H$9,MATCH($E145,Settings!$F$4:$F$9,0))</f>
        <v/>
      </c>
      <c r="P145" s="3" t="inlineStr">
        <is>
          <t>HIGH</t>
        </is>
      </c>
      <c r="Q145" s="5" t="inlineStr"/>
    </row>
    <row r="146">
      <c r="A146" s="3" t="n">
        <v>144</v>
      </c>
      <c r="B146" s="12" t="inlineStr">
        <is>
          <t>TE21</t>
        </is>
      </c>
      <c r="C146" s="5" t="inlineStr">
        <is>
          <t>Pat Freiermuth</t>
        </is>
      </c>
      <c r="D146" s="3" t="inlineStr">
        <is>
          <t>PIT</t>
        </is>
      </c>
      <c r="E146" s="12" t="inlineStr">
        <is>
          <t>TE</t>
        </is>
      </c>
      <c r="F146" s="6" t="n"/>
      <c r="G146" s="6" t="n"/>
      <c r="H146" s="6" t="n">
        <v>3.9</v>
      </c>
      <c r="I146" s="6" t="n"/>
      <c r="J146" s="6" t="n"/>
      <c r="K146" s="6" t="n"/>
      <c r="L146" s="6" t="n"/>
      <c r="M146" s="7">
        <f>F146*Settings!$B$4+G146*Settings!$B$5+H146*Settings!$B$6+I146*Settings!$B$7+J146*Settings!$B$8+K146*Settings!$B$9+L146*Settings!$B$10</f>
        <v/>
      </c>
      <c r="N146" s="8">
        <f>M146-INDEX(Settings!$G$4:$G$9,MATCH($E146,Settings!$F$4:$F$9,0))</f>
        <v/>
      </c>
      <c r="O146" s="7">
        <f>N146*INDEX(Settings!$H$4:$H$9,MATCH($E146,Settings!$F$4:$F$9,0))</f>
        <v/>
      </c>
      <c r="P146" s="3" t="inlineStr">
        <is>
          <t>MEDIUM</t>
        </is>
      </c>
      <c r="Q146" s="5" t="inlineStr"/>
    </row>
    <row r="147">
      <c r="A147" s="3" t="n">
        <v>145</v>
      </c>
      <c r="B147" s="10" t="inlineStr">
        <is>
          <t>WR31</t>
        </is>
      </c>
      <c r="C147" s="5" t="inlineStr">
        <is>
          <t>Luther Burden III</t>
        </is>
      </c>
      <c r="D147" s="3" t="inlineStr">
        <is>
          <t>CHI</t>
        </is>
      </c>
      <c r="E147" s="10" t="inlineStr">
        <is>
          <t>WR</t>
        </is>
      </c>
      <c r="F147" s="6" t="n"/>
      <c r="G147" s="6" t="n">
        <v>0.2</v>
      </c>
      <c r="H147" s="6" t="n">
        <v>5.5</v>
      </c>
      <c r="I147" s="6" t="n"/>
      <c r="J147" s="6" t="n"/>
      <c r="K147" s="6" t="n"/>
      <c r="L147" s="6" t="n"/>
      <c r="M147" s="7">
        <f>F147*Settings!$B$4+G147*Settings!$B$5+H147*Settings!$B$6+I147*Settings!$B$7+J147*Settings!$B$8+K147*Settings!$B$9+L147*Settings!$B$10</f>
        <v/>
      </c>
      <c r="N147" s="8">
        <f>M147-INDEX(Settings!$G$4:$G$9,MATCH($E147,Settings!$F$4:$F$9,0))</f>
        <v/>
      </c>
      <c r="O147" s="7">
        <f>N147*INDEX(Settings!$H$4:$H$9,MATCH($E147,Settings!$F$4:$F$9,0))</f>
        <v/>
      </c>
      <c r="P147" s="3" t="inlineStr">
        <is>
          <t>HIGH</t>
        </is>
      </c>
      <c r="Q147" s="5" t="inlineStr"/>
    </row>
    <row r="148">
      <c r="A148" s="3" t="n">
        <v>146</v>
      </c>
      <c r="B148" s="4" t="inlineStr">
        <is>
          <t>QB16</t>
        </is>
      </c>
      <c r="C148" s="5" t="inlineStr">
        <is>
          <t>Jared Goff</t>
        </is>
      </c>
      <c r="D148" s="3" t="inlineStr">
        <is>
          <t>DET</t>
        </is>
      </c>
      <c r="E148" s="4" t="inlineStr">
        <is>
          <t>QB</t>
        </is>
      </c>
      <c r="F148" s="6" t="n">
        <v>30</v>
      </c>
      <c r="G148" s="6" t="n">
        <v>0.5</v>
      </c>
      <c r="H148" s="6" t="n"/>
      <c r="I148" s="6" t="n"/>
      <c r="J148" s="6" t="n"/>
      <c r="K148" s="6" t="n"/>
      <c r="L148" s="6" t="n"/>
      <c r="M148" s="7">
        <f>F148*Settings!$B$4+G148*Settings!$B$5+H148*Settings!$B$6+I148*Settings!$B$7+J148*Settings!$B$8+K148*Settings!$B$9+L148*Settings!$B$10</f>
        <v/>
      </c>
      <c r="N148" s="8">
        <f>M148-INDEX(Settings!$G$4:$G$9,MATCH($E148,Settings!$F$4:$F$9,0))</f>
        <v/>
      </c>
      <c r="O148" s="7">
        <f>N148*INDEX(Settings!$H$4:$H$9,MATCH($E148,Settings!$F$4:$F$9,0))</f>
        <v/>
      </c>
      <c r="P148" s="3" t="inlineStr">
        <is>
          <t>MEDIUM</t>
        </is>
      </c>
      <c r="Q148" s="5" t="inlineStr">
        <is>
          <t>DET 26.1 implied pts; no rush value</t>
        </is>
      </c>
    </row>
    <row r="149">
      <c r="A149" s="3" t="n">
        <v>147</v>
      </c>
      <c r="B149" s="4" t="inlineStr">
        <is>
          <t>QB17</t>
        </is>
      </c>
      <c r="C149" s="5" t="inlineStr">
        <is>
          <t>Daniel Jones</t>
        </is>
      </c>
      <c r="D149" s="3" t="inlineStr">
        <is>
          <t>IND</t>
        </is>
      </c>
      <c r="E149" s="4" t="inlineStr">
        <is>
          <t>QB</t>
        </is>
      </c>
      <c r="F149" s="6" t="n">
        <v>21</v>
      </c>
      <c r="G149" s="6" t="n">
        <v>5</v>
      </c>
      <c r="H149" s="6" t="n"/>
      <c r="I149" s="6" t="n"/>
      <c r="J149" s="6" t="n"/>
      <c r="K149" s="6" t="n"/>
      <c r="L149" s="6" t="n"/>
      <c r="M149" s="7">
        <f>F149*Settings!$B$4+G149*Settings!$B$5+H149*Settings!$B$6+I149*Settings!$B$7+J149*Settings!$B$8+K149*Settings!$B$9+L149*Settings!$B$10</f>
        <v/>
      </c>
      <c r="N149" s="8">
        <f>M149-INDEX(Settings!$G$4:$G$9,MATCH($E149,Settings!$F$4:$F$9,0))</f>
        <v/>
      </c>
      <c r="O149" s="7">
        <f>N149*INDEX(Settings!$H$4:$H$9,MATCH($E149,Settings!$F$4:$F$9,0))</f>
        <v/>
      </c>
      <c r="P149" s="3" t="inlineStr">
        <is>
          <t>MEDIUM</t>
        </is>
      </c>
      <c r="Q149" s="5" t="inlineStr">
        <is>
          <t>VALUE: Clay 6 rush TD Razzball 7.3; nobody drafts him for that</t>
        </is>
      </c>
    </row>
    <row r="150">
      <c r="A150" s="3" t="n">
        <v>148</v>
      </c>
      <c r="B150" s="11" t="inlineStr">
        <is>
          <t>K18</t>
        </is>
      </c>
      <c r="C150" s="5" t="inlineStr">
        <is>
          <t>Daniel Carlson</t>
        </is>
      </c>
      <c r="D150" s="3" t="inlineStr">
        <is>
          <t>NO</t>
        </is>
      </c>
      <c r="E150" s="11" t="inlineStr">
        <is>
          <t>K</t>
        </is>
      </c>
      <c r="F150" s="6" t="n"/>
      <c r="G150" s="6" t="n"/>
      <c r="H150" s="6" t="n"/>
      <c r="I150" s="6" t="n">
        <v>30</v>
      </c>
      <c r="J150" s="6" t="n">
        <v>37</v>
      </c>
      <c r="K150" s="6" t="n"/>
      <c r="L150" s="6" t="n"/>
      <c r="M150" s="7">
        <f>F150*Settings!$B$4+G150*Settings!$B$5+H150*Settings!$B$6+I150*Settings!$B$7+J150*Settings!$B$8+K150*Settings!$B$9+L150*Settings!$B$10</f>
        <v/>
      </c>
      <c r="N150" s="8">
        <f>M150-INDEX(Settings!$G$4:$G$9,MATCH($E150,Settings!$F$4:$F$9,0))</f>
        <v/>
      </c>
      <c r="O150" s="7">
        <f>N150*INDEX(Settings!$H$4:$H$9,MATCH($E150,Settings!$F$4:$F$9,0))</f>
        <v/>
      </c>
      <c r="P150" s="3" t="inlineStr">
        <is>
          <t>LOW</t>
        </is>
      </c>
      <c r="Q150" s="5" t="inlineStr">
        <is>
          <t>Published projections stale (built on Smyth); NO 42 FGA at 71.4 pct = upside</t>
        </is>
      </c>
    </row>
    <row r="151">
      <c r="A151" s="3" t="n">
        <v>149</v>
      </c>
      <c r="B151" s="10" t="inlineStr">
        <is>
          <t>WR32</t>
        </is>
      </c>
      <c r="C151" s="5" t="inlineStr">
        <is>
          <t>Marvin Harrison Jr.</t>
        </is>
      </c>
      <c r="D151" s="3" t="inlineStr">
        <is>
          <t>ARI</t>
        </is>
      </c>
      <c r="E151" s="10" t="inlineStr">
        <is>
          <t>WR</t>
        </is>
      </c>
      <c r="F151" s="6" t="n"/>
      <c r="G151" s="6" t="n"/>
      <c r="H151" s="6" t="n">
        <v>5.5</v>
      </c>
      <c r="I151" s="6" t="n"/>
      <c r="J151" s="6" t="n"/>
      <c r="K151" s="6" t="n"/>
      <c r="L151" s="6" t="n"/>
      <c r="M151" s="7">
        <f>F151*Settings!$B$4+G151*Settings!$B$5+H151*Settings!$B$6+I151*Settings!$B$7+J151*Settings!$B$8+K151*Settings!$B$9+L151*Settings!$B$10</f>
        <v/>
      </c>
      <c r="N151" s="8">
        <f>M151-INDEX(Settings!$G$4:$G$9,MATCH($E151,Settings!$F$4:$F$9,0))</f>
        <v/>
      </c>
      <c r="O151" s="7">
        <f>N151*INDEX(Settings!$H$4:$H$9,MATCH($E151,Settings!$F$4:$F$9,0))</f>
        <v/>
      </c>
      <c r="P151" s="3" t="inlineStr">
        <is>
          <t>HIGH</t>
        </is>
      </c>
      <c r="Q151" s="5" t="inlineStr"/>
    </row>
    <row r="152">
      <c r="A152" s="3" t="n">
        <v>150</v>
      </c>
      <c r="B152" s="12" t="inlineStr">
        <is>
          <t>TE22</t>
        </is>
      </c>
      <c r="C152" s="5" t="inlineStr">
        <is>
          <t>Kyle Pitts</t>
        </is>
      </c>
      <c r="D152" s="3" t="inlineStr">
        <is>
          <t>ATL</t>
        </is>
      </c>
      <c r="E152" s="12" t="inlineStr">
        <is>
          <t>TE</t>
        </is>
      </c>
      <c r="F152" s="6" t="n"/>
      <c r="G152" s="6" t="n"/>
      <c r="H152" s="6" t="n">
        <v>3.6</v>
      </c>
      <c r="I152" s="6" t="n"/>
      <c r="J152" s="6" t="n"/>
      <c r="K152" s="6" t="n"/>
      <c r="L152" s="6" t="n"/>
      <c r="M152" s="7">
        <f>F152*Settings!$B$4+G152*Settings!$B$5+H152*Settings!$B$6+I152*Settings!$B$7+J152*Settings!$B$8+K152*Settings!$B$9+L152*Settings!$B$10</f>
        <v/>
      </c>
      <c r="N152" s="8">
        <f>M152-INDEX(Settings!$G$4:$G$9,MATCH($E152,Settings!$F$4:$F$9,0))</f>
        <v/>
      </c>
      <c r="O152" s="7">
        <f>N152*INDEX(Settings!$H$4:$H$9,MATCH($E152,Settings!$F$4:$F$9,0))</f>
        <v/>
      </c>
      <c r="P152" s="3" t="inlineStr">
        <is>
          <t>HIGH</t>
        </is>
      </c>
      <c r="Q152" s="5" t="inlineStr"/>
    </row>
    <row r="153">
      <c r="A153" s="3" t="n">
        <v>151</v>
      </c>
      <c r="B153" s="9" t="inlineStr">
        <is>
          <t>RB30</t>
        </is>
      </c>
      <c r="C153" s="5" t="inlineStr">
        <is>
          <t>Blake Corum</t>
        </is>
      </c>
      <c r="D153" s="3" t="inlineStr">
        <is>
          <t>LAR</t>
        </is>
      </c>
      <c r="E153" s="9" t="inlineStr">
        <is>
          <t>RB</t>
        </is>
      </c>
      <c r="F153" s="6" t="n"/>
      <c r="G153" s="6" t="n">
        <v>6.7</v>
      </c>
      <c r="H153" s="6" t="n">
        <v>0.3</v>
      </c>
      <c r="I153" s="6" t="n"/>
      <c r="J153" s="6" t="n"/>
      <c r="K153" s="6" t="n"/>
      <c r="L153" s="6" t="n"/>
      <c r="M153" s="7">
        <f>F153*Settings!$B$4+G153*Settings!$B$5+H153*Settings!$B$6+I153*Settings!$B$7+J153*Settings!$B$8+K153*Settings!$B$9+L153*Settings!$B$10</f>
        <v/>
      </c>
      <c r="N153" s="8">
        <f>M153-INDEX(Settings!$G$4:$G$9,MATCH($E153,Settings!$F$4:$F$9,0))</f>
        <v/>
      </c>
      <c r="O153" s="7">
        <f>N153*INDEX(Settings!$H$4:$H$9,MATCH($E153,Settings!$F$4:$F$9,0))</f>
        <v/>
      </c>
      <c r="P153" s="3" t="inlineStr">
        <is>
          <t>HIGH</t>
        </is>
      </c>
      <c r="Q153" s="5" t="inlineStr">
        <is>
          <t>Alternates drives with Kyren</t>
        </is>
      </c>
    </row>
    <row r="154">
      <c r="A154" s="3" t="n">
        <v>152</v>
      </c>
      <c r="B154" s="12" t="inlineStr">
        <is>
          <t>TE23</t>
        </is>
      </c>
      <c r="C154" s="5" t="inlineStr">
        <is>
          <t>David Njoku</t>
        </is>
      </c>
      <c r="D154" s="3" t="inlineStr">
        <is>
          <t>LAC</t>
        </is>
      </c>
      <c r="E154" s="12" t="inlineStr">
        <is>
          <t>TE</t>
        </is>
      </c>
      <c r="F154" s="6" t="n"/>
      <c r="G154" s="6" t="n"/>
      <c r="H154" s="6" t="n">
        <v>3.5</v>
      </c>
      <c r="I154" s="6" t="n"/>
      <c r="J154" s="6" t="n"/>
      <c r="K154" s="6" t="n"/>
      <c r="L154" s="6" t="n"/>
      <c r="M154" s="7">
        <f>F154*Settings!$B$4+G154*Settings!$B$5+H154*Settings!$B$6+I154*Settings!$B$7+J154*Settings!$B$8+K154*Settings!$B$9+L154*Settings!$B$10</f>
        <v/>
      </c>
      <c r="N154" s="8">
        <f>M154-INDEX(Settings!$G$4:$G$9,MATCH($E154,Settings!$F$4:$F$9,0))</f>
        <v/>
      </c>
      <c r="O154" s="7">
        <f>N154*INDEX(Settings!$H$4:$H$9,MATCH($E154,Settings!$F$4:$F$9,0))</f>
        <v/>
      </c>
      <c r="P154" s="3" t="inlineStr">
        <is>
          <t>HIGH</t>
        </is>
      </c>
      <c r="Q154" s="5" t="inlineStr"/>
    </row>
    <row r="155">
      <c r="A155" s="3" t="n">
        <v>153</v>
      </c>
      <c r="B155" s="4" t="inlineStr">
        <is>
          <t>QB18</t>
        </is>
      </c>
      <c r="C155" s="5" t="inlineStr">
        <is>
          <t>Tyler Shough</t>
        </is>
      </c>
      <c r="D155" s="3" t="inlineStr">
        <is>
          <t>NO</t>
        </is>
      </c>
      <c r="E155" s="4" t="inlineStr">
        <is>
          <t>QB</t>
        </is>
      </c>
      <c r="F155" s="6" t="n">
        <v>21.5</v>
      </c>
      <c r="G155" s="6" t="n">
        <v>4.5</v>
      </c>
      <c r="H155" s="6" t="n"/>
      <c r="I155" s="6" t="n"/>
      <c r="J155" s="6" t="n"/>
      <c r="K155" s="6" t="n"/>
      <c r="L155" s="6" t="n"/>
      <c r="M155" s="7">
        <f>F155*Settings!$B$4+G155*Settings!$B$5+H155*Settings!$B$6+I155*Settings!$B$7+J155*Settings!$B$8+K155*Settings!$B$9+L155*Settings!$B$10</f>
        <v/>
      </c>
      <c r="N155" s="8">
        <f>M155-INDEX(Settings!$G$4:$G$9,MATCH($E155,Settings!$F$4:$F$9,0))</f>
        <v/>
      </c>
      <c r="O155" s="7">
        <f>N155*INDEX(Settings!$H$4:$H$9,MATCH($E155,Settings!$F$4:$F$9,0))</f>
        <v/>
      </c>
      <c r="P155" s="3" t="inlineStr">
        <is>
          <t>HIGH</t>
        </is>
      </c>
      <c r="Q155" s="5" t="inlineStr"/>
    </row>
    <row r="156">
      <c r="A156" s="3" t="n">
        <v>154</v>
      </c>
      <c r="B156" s="11" t="inlineStr">
        <is>
          <t>K19</t>
        </is>
      </c>
      <c r="C156" s="5" t="inlineStr">
        <is>
          <t>Trey Smack</t>
        </is>
      </c>
      <c r="D156" s="3" t="inlineStr">
        <is>
          <t>GB</t>
        </is>
      </c>
      <c r="E156" s="11" t="inlineStr">
        <is>
          <t>K</t>
        </is>
      </c>
      <c r="F156" s="6" t="n"/>
      <c r="G156" s="6" t="n"/>
      <c r="H156" s="6" t="n"/>
      <c r="I156" s="6" t="n">
        <v>29</v>
      </c>
      <c r="J156" s="6" t="n">
        <v>38</v>
      </c>
      <c r="K156" s="6" t="n"/>
      <c r="L156" s="6" t="n"/>
      <c r="M156" s="7">
        <f>F156*Settings!$B$4+G156*Settings!$B$5+H156*Settings!$B$6+I156*Settings!$B$7+J156*Settings!$B$8+K156*Settings!$B$9+L156*Settings!$B$10</f>
        <v/>
      </c>
      <c r="N156" s="8">
        <f>M156-INDEX(Settings!$G$4:$G$9,MATCH($E156,Settings!$F$4:$F$9,0))</f>
        <v/>
      </c>
      <c r="O156" s="7">
        <f>N156*INDEX(Settings!$H$4:$H$9,MATCH($E156,Settings!$F$4:$F$9,0))</f>
        <v/>
      </c>
      <c r="P156" s="3" t="inlineStr">
        <is>
          <t>LOW</t>
        </is>
      </c>
      <c r="Q156" s="5" t="inlineStr">
        <is>
          <t>Rookie 6th rounder</t>
        </is>
      </c>
    </row>
    <row r="157">
      <c r="A157" s="3" t="n">
        <v>155</v>
      </c>
      <c r="B157" s="9" t="inlineStr">
        <is>
          <t>RB31</t>
        </is>
      </c>
      <c r="C157" s="5" t="inlineStr">
        <is>
          <t>Rachaad White</t>
        </is>
      </c>
      <c r="D157" s="3" t="inlineStr">
        <is>
          <t>WAS</t>
        </is>
      </c>
      <c r="E157" s="9" t="inlineStr">
        <is>
          <t>RB</t>
        </is>
      </c>
      <c r="F157" s="6" t="n"/>
      <c r="G157" s="6" t="n">
        <v>5</v>
      </c>
      <c r="H157" s="6" t="n">
        <v>1.9</v>
      </c>
      <c r="I157" s="6" t="n"/>
      <c r="J157" s="6" t="n"/>
      <c r="K157" s="6" t="n"/>
      <c r="L157" s="6" t="n"/>
      <c r="M157" s="7">
        <f>F157*Settings!$B$4+G157*Settings!$B$5+H157*Settings!$B$6+I157*Settings!$B$7+J157*Settings!$B$8+K157*Settings!$B$9+L157*Settings!$B$10</f>
        <v/>
      </c>
      <c r="N157" s="8">
        <f>M157-INDEX(Settings!$G$4:$G$9,MATCH($E157,Settings!$F$4:$F$9,0))</f>
        <v/>
      </c>
      <c r="O157" s="7">
        <f>N157*INDEX(Settings!$H$4:$H$9,MATCH($E157,Settings!$F$4:$F$9,0))</f>
        <v/>
      </c>
      <c r="P157" s="3" t="inlineStr">
        <is>
          <t>HIGH</t>
        </is>
      </c>
      <c r="Q157" s="5" t="inlineStr">
        <is>
          <t>Signed TB to WAS</t>
        </is>
      </c>
    </row>
    <row r="158">
      <c r="A158" s="3" t="n">
        <v>156</v>
      </c>
      <c r="B158" s="10" t="inlineStr">
        <is>
          <t>WR33</t>
        </is>
      </c>
      <c r="C158" s="5" t="inlineStr">
        <is>
          <t>Romeo Doubs</t>
        </is>
      </c>
      <c r="D158" s="3" t="inlineStr">
        <is>
          <t>NE</t>
        </is>
      </c>
      <c r="E158" s="10" t="inlineStr">
        <is>
          <t>WR</t>
        </is>
      </c>
      <c r="F158" s="6" t="n"/>
      <c r="G158" s="6" t="n"/>
      <c r="H158" s="6" t="n">
        <v>5.2</v>
      </c>
      <c r="I158" s="6" t="n"/>
      <c r="J158" s="6" t="n"/>
      <c r="K158" s="6" t="n"/>
      <c r="L158" s="6" t="n"/>
      <c r="M158" s="7">
        <f>F158*Settings!$B$4+G158*Settings!$B$5+H158*Settings!$B$6+I158*Settings!$B$7+J158*Settings!$B$8+K158*Settings!$B$9+L158*Settings!$B$10</f>
        <v/>
      </c>
      <c r="N158" s="8">
        <f>M158-INDEX(Settings!$G$4:$G$9,MATCH($E158,Settings!$F$4:$F$9,0))</f>
        <v/>
      </c>
      <c r="O158" s="7">
        <f>N158*INDEX(Settings!$H$4:$H$9,MATCH($E158,Settings!$F$4:$F$9,0))</f>
        <v/>
      </c>
      <c r="P158" s="3" t="inlineStr">
        <is>
          <t>HIGH</t>
        </is>
      </c>
      <c r="Q158" s="5" t="inlineStr"/>
    </row>
    <row r="159">
      <c r="A159" s="3" t="n">
        <v>157</v>
      </c>
      <c r="B159" s="10" t="inlineStr">
        <is>
          <t>WR34</t>
        </is>
      </c>
      <c r="C159" s="5" t="inlineStr">
        <is>
          <t>Alec Pierce</t>
        </is>
      </c>
      <c r="D159" s="3" t="inlineStr">
        <is>
          <t>IND</t>
        </is>
      </c>
      <c r="E159" s="10" t="inlineStr">
        <is>
          <t>WR</t>
        </is>
      </c>
      <c r="F159" s="6" t="n"/>
      <c r="G159" s="6" t="n"/>
      <c r="H159" s="6" t="n">
        <v>5.2</v>
      </c>
      <c r="I159" s="6" t="n"/>
      <c r="J159" s="6" t="n"/>
      <c r="K159" s="6" t="n"/>
      <c r="L159" s="6" t="n"/>
      <c r="M159" s="7">
        <f>F159*Settings!$B$4+G159*Settings!$B$5+H159*Settings!$B$6+I159*Settings!$B$7+J159*Settings!$B$8+K159*Settings!$B$9+L159*Settings!$B$10</f>
        <v/>
      </c>
      <c r="N159" s="8">
        <f>M159-INDEX(Settings!$G$4:$G$9,MATCH($E159,Settings!$F$4:$F$9,0))</f>
        <v/>
      </c>
      <c r="O159" s="7">
        <f>N159*INDEX(Settings!$H$4:$H$9,MATCH($E159,Settings!$F$4:$F$9,0))</f>
        <v/>
      </c>
      <c r="P159" s="3" t="inlineStr">
        <is>
          <t>HIGH</t>
        </is>
      </c>
      <c r="Q159" s="5" t="inlineStr"/>
    </row>
    <row r="160">
      <c r="A160" s="3" t="n">
        <v>158</v>
      </c>
      <c r="B160" s="10" t="inlineStr">
        <is>
          <t>WR35</t>
        </is>
      </c>
      <c r="C160" s="5" t="inlineStr">
        <is>
          <t>Jakobi Meyers</t>
        </is>
      </c>
      <c r="D160" s="3" t="inlineStr">
        <is>
          <t>JAX</t>
        </is>
      </c>
      <c r="E160" s="10" t="inlineStr">
        <is>
          <t>WR</t>
        </is>
      </c>
      <c r="F160" s="6" t="n"/>
      <c r="G160" s="6" t="n">
        <v>0.1</v>
      </c>
      <c r="H160" s="6" t="n">
        <v>5.1</v>
      </c>
      <c r="I160" s="6" t="n"/>
      <c r="J160" s="6" t="n"/>
      <c r="K160" s="6" t="n"/>
      <c r="L160" s="6" t="n"/>
      <c r="M160" s="7">
        <f>F160*Settings!$B$4+G160*Settings!$B$5+H160*Settings!$B$6+I160*Settings!$B$7+J160*Settings!$B$8+K160*Settings!$B$9+L160*Settings!$B$10</f>
        <v/>
      </c>
      <c r="N160" s="8">
        <f>M160-INDEX(Settings!$G$4:$G$9,MATCH($E160,Settings!$F$4:$F$9,0))</f>
        <v/>
      </c>
      <c r="O160" s="7">
        <f>N160*INDEX(Settings!$H$4:$H$9,MATCH($E160,Settings!$F$4:$F$9,0))</f>
        <v/>
      </c>
      <c r="P160" s="3" t="inlineStr">
        <is>
          <t>HIGH</t>
        </is>
      </c>
      <c r="Q160" s="5" t="inlineStr"/>
    </row>
    <row r="161">
      <c r="A161" s="3" t="n">
        <v>159</v>
      </c>
      <c r="B161" s="10" t="inlineStr">
        <is>
          <t>WR36</t>
        </is>
      </c>
      <c r="C161" s="5" t="inlineStr">
        <is>
          <t>Jordan Addison</t>
        </is>
      </c>
      <c r="D161" s="3" t="inlineStr">
        <is>
          <t>MIN</t>
        </is>
      </c>
      <c r="E161" s="10" t="inlineStr">
        <is>
          <t>WR</t>
        </is>
      </c>
      <c r="F161" s="6" t="n"/>
      <c r="G161" s="6" t="n">
        <v>0.1</v>
      </c>
      <c r="H161" s="6" t="n">
        <v>5.1</v>
      </c>
      <c r="I161" s="6" t="n"/>
      <c r="J161" s="6" t="n"/>
      <c r="K161" s="6" t="n"/>
      <c r="L161" s="6" t="n"/>
      <c r="M161" s="7">
        <f>F161*Settings!$B$4+G161*Settings!$B$5+H161*Settings!$B$6+I161*Settings!$B$7+J161*Settings!$B$8+K161*Settings!$B$9+L161*Settings!$B$10</f>
        <v/>
      </c>
      <c r="N161" s="8">
        <f>M161-INDEX(Settings!$G$4:$G$9,MATCH($E161,Settings!$F$4:$F$9,0))</f>
        <v/>
      </c>
      <c r="O161" s="7">
        <f>N161*INDEX(Settings!$H$4:$H$9,MATCH($E161,Settings!$F$4:$F$9,0))</f>
        <v/>
      </c>
      <c r="P161" s="3" t="inlineStr">
        <is>
          <t>HIGH</t>
        </is>
      </c>
      <c r="Q161" s="5" t="inlineStr"/>
    </row>
    <row r="162">
      <c r="A162" s="3" t="n">
        <v>160</v>
      </c>
      <c r="B162" s="10" t="inlineStr">
        <is>
          <t>WR37</t>
        </is>
      </c>
      <c r="C162" s="5" t="inlineStr">
        <is>
          <t>Garrett Wilson</t>
        </is>
      </c>
      <c r="D162" s="3" t="inlineStr">
        <is>
          <t>NYJ</t>
        </is>
      </c>
      <c r="E162" s="10" t="inlineStr">
        <is>
          <t>WR</t>
        </is>
      </c>
      <c r="F162" s="6" t="n"/>
      <c r="G162" s="6" t="n">
        <v>0.1</v>
      </c>
      <c r="H162" s="6" t="n">
        <v>5.1</v>
      </c>
      <c r="I162" s="6" t="n"/>
      <c r="J162" s="6" t="n"/>
      <c r="K162" s="6" t="n"/>
      <c r="L162" s="6" t="n"/>
      <c r="M162" s="7">
        <f>F162*Settings!$B$4+G162*Settings!$B$5+H162*Settings!$B$6+I162*Settings!$B$7+J162*Settings!$B$8+K162*Settings!$B$9+L162*Settings!$B$10</f>
        <v/>
      </c>
      <c r="N162" s="8">
        <f>M162-INDEX(Settings!$G$4:$G$9,MATCH($E162,Settings!$F$4:$F$9,0))</f>
        <v/>
      </c>
      <c r="O162" s="7">
        <f>N162*INDEX(Settings!$H$4:$H$9,MATCH($E162,Settings!$F$4:$F$9,0))</f>
        <v/>
      </c>
      <c r="P162" s="3" t="inlineStr">
        <is>
          <t>HIGH</t>
        </is>
      </c>
      <c r="Q162" s="5" t="inlineStr"/>
    </row>
    <row r="163">
      <c r="A163" s="3" t="n">
        <v>161</v>
      </c>
      <c r="B163" s="10" t="inlineStr">
        <is>
          <t>WR38</t>
        </is>
      </c>
      <c r="C163" s="5" t="inlineStr">
        <is>
          <t>Parker Washington</t>
        </is>
      </c>
      <c r="D163" s="3" t="inlineStr">
        <is>
          <t>JAX</t>
        </is>
      </c>
      <c r="E163" s="10" t="inlineStr">
        <is>
          <t>WR</t>
        </is>
      </c>
      <c r="F163" s="6" t="n"/>
      <c r="G163" s="6" t="n">
        <v>0.1</v>
      </c>
      <c r="H163" s="6" t="n">
        <v>5.1</v>
      </c>
      <c r="I163" s="6" t="n"/>
      <c r="J163" s="6" t="n"/>
      <c r="K163" s="6" t="n"/>
      <c r="L163" s="6" t="n"/>
      <c r="M163" s="7">
        <f>F163*Settings!$B$4+G163*Settings!$B$5+H163*Settings!$B$6+I163*Settings!$B$7+J163*Settings!$B$8+K163*Settings!$B$9+L163*Settings!$B$10</f>
        <v/>
      </c>
      <c r="N163" s="8">
        <f>M163-INDEX(Settings!$G$4:$G$9,MATCH($E163,Settings!$F$4:$F$9,0))</f>
        <v/>
      </c>
      <c r="O163" s="7">
        <f>N163*INDEX(Settings!$H$4:$H$9,MATCH($E163,Settings!$F$4:$F$9,0))</f>
        <v/>
      </c>
      <c r="P163" s="3" t="inlineStr">
        <is>
          <t>HIGH</t>
        </is>
      </c>
      <c r="Q163" s="5" t="inlineStr"/>
    </row>
    <row r="164">
      <c r="A164" s="3" t="n">
        <v>162</v>
      </c>
      <c r="B164" s="11" t="inlineStr">
        <is>
          <t>K20</t>
        </is>
      </c>
      <c r="C164" s="5" t="inlineStr">
        <is>
          <t>Tyler Bass</t>
        </is>
      </c>
      <c r="D164" s="3" t="inlineStr">
        <is>
          <t>BUF</t>
        </is>
      </c>
      <c r="E164" s="11" t="inlineStr">
        <is>
          <t>K</t>
        </is>
      </c>
      <c r="F164" s="6" t="n"/>
      <c r="G164" s="6" t="n"/>
      <c r="H164" s="6" t="n"/>
      <c r="I164" s="6" t="n">
        <v>26</v>
      </c>
      <c r="J164" s="6" t="n">
        <v>46</v>
      </c>
      <c r="K164" s="6" t="n"/>
      <c r="L164" s="6" t="n"/>
      <c r="M164" s="7">
        <f>F164*Settings!$B$4+G164*Settings!$B$5+H164*Settings!$B$6+I164*Settings!$B$7+J164*Settings!$B$8+K164*Settings!$B$9+L164*Settings!$B$10</f>
        <v/>
      </c>
      <c r="N164" s="8">
        <f>M164-INDEX(Settings!$G$4:$G$9,MATCH($E164,Settings!$F$4:$F$9,0))</f>
        <v/>
      </c>
      <c r="O164" s="7">
        <f>N164*INDEX(Settings!$H$4:$H$9,MATCH($E164,Settings!$F$4:$F$9,0))</f>
        <v/>
      </c>
      <c r="P164" s="3" t="inlineStr">
        <is>
          <t>MEDIUM</t>
        </is>
      </c>
      <c r="Q164" s="5" t="inlineStr">
        <is>
          <t>TRAP: BUF had fewest FGA in NFL (21) in 2025</t>
        </is>
      </c>
    </row>
    <row r="165">
      <c r="A165" s="3" t="n">
        <v>163</v>
      </c>
      <c r="B165" s="10" t="inlineStr">
        <is>
          <t>WR39</t>
        </is>
      </c>
      <c r="C165" s="5" t="inlineStr">
        <is>
          <t>Brian Thomas Jr.</t>
        </is>
      </c>
      <c r="D165" s="3" t="inlineStr">
        <is>
          <t>JAX</t>
        </is>
      </c>
      <c r="E165" s="10" t="inlineStr">
        <is>
          <t>WR</t>
        </is>
      </c>
      <c r="F165" s="6" t="n"/>
      <c r="G165" s="6" t="n">
        <v>0.1</v>
      </c>
      <c r="H165" s="6" t="n">
        <v>5</v>
      </c>
      <c r="I165" s="6" t="n"/>
      <c r="J165" s="6" t="n"/>
      <c r="K165" s="6" t="n"/>
      <c r="L165" s="6" t="n"/>
      <c r="M165" s="7">
        <f>F165*Settings!$B$4+G165*Settings!$B$5+H165*Settings!$B$6+I165*Settings!$B$7+J165*Settings!$B$8+K165*Settings!$B$9+L165*Settings!$B$10</f>
        <v/>
      </c>
      <c r="N165" s="8">
        <f>M165-INDEX(Settings!$G$4:$G$9,MATCH($E165,Settings!$F$4:$F$9,0))</f>
        <v/>
      </c>
      <c r="O165" s="7">
        <f>N165*INDEX(Settings!$H$4:$H$9,MATCH($E165,Settings!$F$4:$F$9,0))</f>
        <v/>
      </c>
      <c r="P165" s="3" t="inlineStr">
        <is>
          <t>HIGH</t>
        </is>
      </c>
      <c r="Q165" s="5" t="inlineStr"/>
    </row>
    <row r="166">
      <c r="A166" s="3" t="n">
        <v>164</v>
      </c>
      <c r="B166" s="11" t="inlineStr">
        <is>
          <t>K21</t>
        </is>
      </c>
      <c r="C166" s="5" t="inlineStr">
        <is>
          <t>Jason Sanders</t>
        </is>
      </c>
      <c r="D166" s="3" t="inlineStr">
        <is>
          <t>NYJ</t>
        </is>
      </c>
      <c r="E166" s="11" t="inlineStr">
        <is>
          <t>K</t>
        </is>
      </c>
      <c r="F166" s="6" t="n"/>
      <c r="G166" s="6" t="n"/>
      <c r="H166" s="6" t="n"/>
      <c r="I166" s="6" t="n">
        <v>29</v>
      </c>
      <c r="J166" s="6" t="n">
        <v>35</v>
      </c>
      <c r="K166" s="6" t="n"/>
      <c r="L166" s="6" t="n"/>
      <c r="M166" s="7">
        <f>F166*Settings!$B$4+G166*Settings!$B$5+H166*Settings!$B$6+I166*Settings!$B$7+J166*Settings!$B$8+K166*Settings!$B$9+L166*Settings!$B$10</f>
        <v/>
      </c>
      <c r="N166" s="8">
        <f>M166-INDEX(Settings!$G$4:$G$9,MATCH($E166,Settings!$F$4:$F$9,0))</f>
        <v/>
      </c>
      <c r="O166" s="7">
        <f>N166*INDEX(Settings!$H$4:$H$9,MATCH($E166,Settings!$F$4:$F$9,0))</f>
        <v/>
      </c>
      <c r="P166" s="3" t="inlineStr">
        <is>
          <t>HIGH</t>
        </is>
      </c>
      <c r="Q166" s="5" t="inlineStr">
        <is>
          <t>Won job; York waived</t>
        </is>
      </c>
    </row>
    <row r="167">
      <c r="A167" s="3" t="n">
        <v>165</v>
      </c>
      <c r="B167" s="12" t="inlineStr">
        <is>
          <t>TE24</t>
        </is>
      </c>
      <c r="C167" s="5" t="inlineStr">
        <is>
          <t>Gunnar Helm</t>
        </is>
      </c>
      <c r="D167" s="3" t="inlineStr">
        <is>
          <t>TEN</t>
        </is>
      </c>
      <c r="E167" s="12" t="inlineStr">
        <is>
          <t>TE</t>
        </is>
      </c>
      <c r="F167" s="6" t="n"/>
      <c r="G167" s="6" t="n"/>
      <c r="H167" s="6" t="n">
        <v>3.1</v>
      </c>
      <c r="I167" s="6" t="n"/>
      <c r="J167" s="6" t="n"/>
      <c r="K167" s="6" t="n"/>
      <c r="L167" s="6" t="n"/>
      <c r="M167" s="7">
        <f>F167*Settings!$B$4+G167*Settings!$B$5+H167*Settings!$B$6+I167*Settings!$B$7+J167*Settings!$B$8+K167*Settings!$B$9+L167*Settings!$B$10</f>
        <v/>
      </c>
      <c r="N167" s="8">
        <f>M167-INDEX(Settings!$G$4:$G$9,MATCH($E167,Settings!$F$4:$F$9,0))</f>
        <v/>
      </c>
      <c r="O167" s="7">
        <f>N167*INDEX(Settings!$H$4:$H$9,MATCH($E167,Settings!$F$4:$F$9,0))</f>
        <v/>
      </c>
      <c r="P167" s="3" t="inlineStr">
        <is>
          <t>HIGH</t>
        </is>
      </c>
      <c r="Q167" s="5" t="inlineStr"/>
    </row>
    <row r="168">
      <c r="A168" s="3" t="n">
        <v>166</v>
      </c>
      <c r="B168" s="9" t="inlineStr">
        <is>
          <t>RB32</t>
        </is>
      </c>
      <c r="C168" s="5" t="inlineStr">
        <is>
          <t>Jaylen Warren</t>
        </is>
      </c>
      <c r="D168" s="3" t="inlineStr">
        <is>
          <t>PIT</t>
        </is>
      </c>
      <c r="E168" s="9" t="inlineStr">
        <is>
          <t>RB</t>
        </is>
      </c>
      <c r="F168" s="6" t="n"/>
      <c r="G168" s="6" t="n">
        <v>4.8</v>
      </c>
      <c r="H168" s="6" t="n">
        <v>1.8</v>
      </c>
      <c r="I168" s="6" t="n"/>
      <c r="J168" s="6" t="n"/>
      <c r="K168" s="6" t="n"/>
      <c r="L168" s="6" t="n"/>
      <c r="M168" s="7">
        <f>F168*Settings!$B$4+G168*Settings!$B$5+H168*Settings!$B$6+I168*Settings!$B$7+J168*Settings!$B$8+K168*Settings!$B$9+L168*Settings!$B$10</f>
        <v/>
      </c>
      <c r="N168" s="8">
        <f>M168-INDEX(Settings!$G$4:$G$9,MATCH($E168,Settings!$F$4:$F$9,0))</f>
        <v/>
      </c>
      <c r="O168" s="7">
        <f>N168*INDEX(Settings!$H$4:$H$9,MATCH($E168,Settings!$F$4:$F$9,0))</f>
        <v/>
      </c>
      <c r="P168" s="3" t="inlineStr">
        <is>
          <t>HIGH</t>
        </is>
      </c>
      <c r="Q168" s="5" t="inlineStr">
        <is>
          <t>True 50-50 with Dowdle</t>
        </is>
      </c>
    </row>
    <row r="169">
      <c r="A169" s="3" t="n">
        <v>167</v>
      </c>
      <c r="B169" s="10" t="inlineStr">
        <is>
          <t>WR40</t>
        </is>
      </c>
      <c r="C169" s="5" t="inlineStr">
        <is>
          <t>Jayden Reed</t>
        </is>
      </c>
      <c r="D169" s="3" t="inlineStr">
        <is>
          <t>GB</t>
        </is>
      </c>
      <c r="E169" s="10" t="inlineStr">
        <is>
          <t>WR</t>
        </is>
      </c>
      <c r="F169" s="6" t="n"/>
      <c r="G169" s="6" t="n">
        <v>0.2</v>
      </c>
      <c r="H169" s="6" t="n">
        <v>4.7</v>
      </c>
      <c r="I169" s="6" t="n"/>
      <c r="J169" s="6" t="n"/>
      <c r="K169" s="6" t="n"/>
      <c r="L169" s="6" t="n"/>
      <c r="M169" s="7">
        <f>F169*Settings!$B$4+G169*Settings!$B$5+H169*Settings!$B$6+I169*Settings!$B$7+J169*Settings!$B$8+K169*Settings!$B$9+L169*Settings!$B$10</f>
        <v/>
      </c>
      <c r="N169" s="8">
        <f>M169-INDEX(Settings!$G$4:$G$9,MATCH($E169,Settings!$F$4:$F$9,0))</f>
        <v/>
      </c>
      <c r="O169" s="7">
        <f>N169*INDEX(Settings!$H$4:$H$9,MATCH($E169,Settings!$F$4:$F$9,0))</f>
        <v/>
      </c>
      <c r="P169" s="3" t="inlineStr">
        <is>
          <t>HIGH</t>
        </is>
      </c>
      <c r="Q169" s="5" t="inlineStr"/>
    </row>
    <row r="170">
      <c r="A170" s="3" t="n">
        <v>168</v>
      </c>
      <c r="B170" s="10" t="inlineStr">
        <is>
          <t>WR41</t>
        </is>
      </c>
      <c r="C170" s="5" t="inlineStr">
        <is>
          <t>Matthew Golden</t>
        </is>
      </c>
      <c r="D170" s="3" t="inlineStr">
        <is>
          <t>GB</t>
        </is>
      </c>
      <c r="E170" s="10" t="inlineStr">
        <is>
          <t>WR</t>
        </is>
      </c>
      <c r="F170" s="6" t="n"/>
      <c r="G170" s="6" t="n">
        <v>0.1</v>
      </c>
      <c r="H170" s="6" t="n">
        <v>4.8</v>
      </c>
      <c r="I170" s="6" t="n"/>
      <c r="J170" s="6" t="n"/>
      <c r="K170" s="6" t="n"/>
      <c r="L170" s="6" t="n"/>
      <c r="M170" s="7">
        <f>F170*Settings!$B$4+G170*Settings!$B$5+H170*Settings!$B$6+I170*Settings!$B$7+J170*Settings!$B$8+K170*Settings!$B$9+L170*Settings!$B$10</f>
        <v/>
      </c>
      <c r="N170" s="8">
        <f>M170-INDEX(Settings!$G$4:$G$9,MATCH($E170,Settings!$F$4:$F$9,0))</f>
        <v/>
      </c>
      <c r="O170" s="7">
        <f>N170*INDEX(Settings!$H$4:$H$9,MATCH($E170,Settings!$F$4:$F$9,0))</f>
        <v/>
      </c>
      <c r="P170" s="3" t="inlineStr">
        <is>
          <t>HIGH</t>
        </is>
      </c>
      <c r="Q170" s="5" t="inlineStr"/>
    </row>
    <row r="171">
      <c r="A171" s="3" t="n">
        <v>169</v>
      </c>
      <c r="B171" s="11" t="inlineStr">
        <is>
          <t>K22</t>
        </is>
      </c>
      <c r="C171" s="5" t="inlineStr">
        <is>
          <t>Joey Slye</t>
        </is>
      </c>
      <c r="D171" s="3" t="inlineStr">
        <is>
          <t>TEN</t>
        </is>
      </c>
      <c r="E171" s="11" t="inlineStr">
        <is>
          <t>K</t>
        </is>
      </c>
      <c r="F171" s="6" t="n"/>
      <c r="G171" s="6" t="n"/>
      <c r="H171" s="6" t="n"/>
      <c r="I171" s="6" t="n">
        <v>29</v>
      </c>
      <c r="J171" s="6" t="n">
        <v>34</v>
      </c>
      <c r="K171" s="6" t="n"/>
      <c r="L171" s="6" t="n"/>
      <c r="M171" s="7">
        <f>F171*Settings!$B$4+G171*Settings!$B$5+H171*Settings!$B$6+I171*Settings!$B$7+J171*Settings!$B$8+K171*Settings!$B$9+L171*Settings!$B$10</f>
        <v/>
      </c>
      <c r="N171" s="8">
        <f>M171-INDEX(Settings!$G$4:$G$9,MATCH($E171,Settings!$F$4:$F$9,0))</f>
        <v/>
      </c>
      <c r="O171" s="7">
        <f>N171*INDEX(Settings!$H$4:$H$9,MATCH($E171,Settings!$F$4:$F$9,0))</f>
        <v/>
      </c>
      <c r="P171" s="3" t="inlineStr">
        <is>
          <t>MEDIUM</t>
        </is>
      </c>
      <c r="Q171" s="5" t="inlineStr"/>
    </row>
    <row r="172">
      <c r="A172" s="3" t="n">
        <v>170</v>
      </c>
      <c r="B172" s="12" t="inlineStr">
        <is>
          <t>TE25</t>
        </is>
      </c>
      <c r="C172" s="5" t="inlineStr">
        <is>
          <t>Chigoziem Okonkwo</t>
        </is>
      </c>
      <c r="D172" s="3" t="inlineStr">
        <is>
          <t>WAS</t>
        </is>
      </c>
      <c r="E172" s="12" t="inlineStr">
        <is>
          <t>TE</t>
        </is>
      </c>
      <c r="F172" s="6" t="n"/>
      <c r="G172" s="6" t="n"/>
      <c r="H172" s="6" t="n">
        <v>3</v>
      </c>
      <c r="I172" s="6" t="n"/>
      <c r="J172" s="6" t="n"/>
      <c r="K172" s="6" t="n"/>
      <c r="L172" s="6" t="n"/>
      <c r="M172" s="7">
        <f>F172*Settings!$B$4+G172*Settings!$B$5+H172*Settings!$B$6+I172*Settings!$B$7+J172*Settings!$B$8+K172*Settings!$B$9+L172*Settings!$B$10</f>
        <v/>
      </c>
      <c r="N172" s="8">
        <f>M172-INDEX(Settings!$G$4:$G$9,MATCH($E172,Settings!$F$4:$F$9,0))</f>
        <v/>
      </c>
      <c r="O172" s="7">
        <f>N172*INDEX(Settings!$H$4:$H$9,MATCH($E172,Settings!$F$4:$F$9,0))</f>
        <v/>
      </c>
      <c r="P172" s="3" t="inlineStr">
        <is>
          <t>LOW</t>
        </is>
      </c>
      <c r="Q172" s="5" t="inlineStr"/>
    </row>
    <row r="173">
      <c r="A173" s="3" t="n">
        <v>171</v>
      </c>
      <c r="B173" s="12" t="inlineStr">
        <is>
          <t>TE26</t>
        </is>
      </c>
      <c r="C173" s="5" t="inlineStr">
        <is>
          <t>Kenyon Sadiq</t>
        </is>
      </c>
      <c r="D173" s="3" t="inlineStr">
        <is>
          <t>NYJ</t>
        </is>
      </c>
      <c r="E173" s="12" t="inlineStr">
        <is>
          <t>TE</t>
        </is>
      </c>
      <c r="F173" s="6" t="n"/>
      <c r="G173" s="6" t="n"/>
      <c r="H173" s="6" t="n">
        <v>3</v>
      </c>
      <c r="I173" s="6" t="n"/>
      <c r="J173" s="6" t="n"/>
      <c r="K173" s="6" t="n"/>
      <c r="L173" s="6" t="n"/>
      <c r="M173" s="7">
        <f>F173*Settings!$B$4+G173*Settings!$B$5+H173*Settings!$B$6+I173*Settings!$B$7+J173*Settings!$B$8+K173*Settings!$B$9+L173*Settings!$B$10</f>
        <v/>
      </c>
      <c r="N173" s="8">
        <f>M173-INDEX(Settings!$G$4:$G$9,MATCH($E173,Settings!$F$4:$F$9,0))</f>
        <v/>
      </c>
      <c r="O173" s="7">
        <f>N173*INDEX(Settings!$H$4:$H$9,MATCH($E173,Settings!$F$4:$F$9,0))</f>
        <v/>
      </c>
      <c r="P173" s="3" t="inlineStr">
        <is>
          <t>HIGH</t>
        </is>
      </c>
      <c r="Q173" s="5" t="inlineStr"/>
    </row>
    <row r="174">
      <c r="A174" s="3" t="n">
        <v>172</v>
      </c>
      <c r="B174" s="12" t="inlineStr">
        <is>
          <t>TE27</t>
        </is>
      </c>
      <c r="C174" s="5" t="inlineStr">
        <is>
          <t>Dalton Schultz</t>
        </is>
      </c>
      <c r="D174" s="3" t="inlineStr">
        <is>
          <t>HOU</t>
        </is>
      </c>
      <c r="E174" s="12" t="inlineStr">
        <is>
          <t>TE</t>
        </is>
      </c>
      <c r="F174" s="6" t="n"/>
      <c r="G174" s="6" t="n"/>
      <c r="H174" s="6" t="n">
        <v>3</v>
      </c>
      <c r="I174" s="6" t="n"/>
      <c r="J174" s="6" t="n"/>
      <c r="K174" s="6" t="n"/>
      <c r="L174" s="6" t="n"/>
      <c r="M174" s="7">
        <f>F174*Settings!$B$4+G174*Settings!$B$5+H174*Settings!$B$6+I174*Settings!$B$7+J174*Settings!$B$8+K174*Settings!$B$9+L174*Settings!$B$10</f>
        <v/>
      </c>
      <c r="N174" s="8">
        <f>M174-INDEX(Settings!$G$4:$G$9,MATCH($E174,Settings!$F$4:$F$9,0))</f>
        <v/>
      </c>
      <c r="O174" s="7">
        <f>N174*INDEX(Settings!$H$4:$H$9,MATCH($E174,Settings!$F$4:$F$9,0))</f>
        <v/>
      </c>
      <c r="P174" s="3" t="inlineStr">
        <is>
          <t>HIGH</t>
        </is>
      </c>
      <c r="Q174" s="5" t="inlineStr"/>
    </row>
    <row r="175">
      <c r="A175" s="3" t="n">
        <v>173</v>
      </c>
      <c r="B175" s="12" t="inlineStr">
        <is>
          <t>TE28</t>
        </is>
      </c>
      <c r="C175" s="5" t="inlineStr">
        <is>
          <t>Colby Parkinson</t>
        </is>
      </c>
      <c r="D175" s="3" t="inlineStr">
        <is>
          <t>LAR</t>
        </is>
      </c>
      <c r="E175" s="12" t="inlineStr">
        <is>
          <t>TE</t>
        </is>
      </c>
      <c r="F175" s="6" t="n"/>
      <c r="G175" s="6" t="n"/>
      <c r="H175" s="6" t="n">
        <v>3</v>
      </c>
      <c r="I175" s="6" t="n"/>
      <c r="J175" s="6" t="n"/>
      <c r="K175" s="6" t="n"/>
      <c r="L175" s="6" t="n"/>
      <c r="M175" s="7">
        <f>F175*Settings!$B$4+G175*Settings!$B$5+H175*Settings!$B$6+I175*Settings!$B$7+J175*Settings!$B$8+K175*Settings!$B$9+L175*Settings!$B$10</f>
        <v/>
      </c>
      <c r="N175" s="8">
        <f>M175-INDEX(Settings!$G$4:$G$9,MATCH($E175,Settings!$F$4:$F$9,0))</f>
        <v/>
      </c>
      <c r="O175" s="7">
        <f>N175*INDEX(Settings!$H$4:$H$9,MATCH($E175,Settings!$F$4:$F$9,0))</f>
        <v/>
      </c>
      <c r="P175" s="3" t="inlineStr">
        <is>
          <t>HIGH</t>
        </is>
      </c>
      <c r="Q175" s="5" t="inlineStr"/>
    </row>
    <row r="176">
      <c r="A176" s="3" t="n">
        <v>174</v>
      </c>
      <c r="B176" s="10" t="inlineStr">
        <is>
          <t>WR42</t>
        </is>
      </c>
      <c r="C176" s="5" t="inlineStr">
        <is>
          <t>Deebo Samuel Sr.</t>
        </is>
      </c>
      <c r="D176" s="3" t="inlineStr">
        <is>
          <t>SF</t>
        </is>
      </c>
      <c r="E176" s="10" t="inlineStr">
        <is>
          <t>WR</t>
        </is>
      </c>
      <c r="F176" s="6" t="n"/>
      <c r="G176" s="6" t="n">
        <v>1.1</v>
      </c>
      <c r="H176" s="6" t="n">
        <v>3.7</v>
      </c>
      <c r="I176" s="6" t="n"/>
      <c r="J176" s="6" t="n"/>
      <c r="K176" s="6" t="n"/>
      <c r="L176" s="6" t="n"/>
      <c r="M176" s="7">
        <f>F176*Settings!$B$4+G176*Settings!$B$5+H176*Settings!$B$6+I176*Settings!$B$7+J176*Settings!$B$8+K176*Settings!$B$9+L176*Settings!$B$10</f>
        <v/>
      </c>
      <c r="N176" s="8">
        <f>M176-INDEX(Settings!$G$4:$G$9,MATCH($E176,Settings!$F$4:$F$9,0))</f>
        <v/>
      </c>
      <c r="O176" s="7">
        <f>N176*INDEX(Settings!$H$4:$H$9,MATCH($E176,Settings!$F$4:$F$9,0))</f>
        <v/>
      </c>
      <c r="P176" s="3" t="inlineStr">
        <is>
          <t>LOW</t>
        </is>
      </c>
      <c r="Q176" s="5" t="inlineStr"/>
    </row>
    <row r="177">
      <c r="A177" s="3" t="n">
        <v>175</v>
      </c>
      <c r="B177" s="10" t="inlineStr">
        <is>
          <t>WR43</t>
        </is>
      </c>
      <c r="C177" s="5" t="inlineStr">
        <is>
          <t>Carnell Tate</t>
        </is>
      </c>
      <c r="D177" s="3" t="inlineStr">
        <is>
          <t>TEN</t>
        </is>
      </c>
      <c r="E177" s="10" t="inlineStr">
        <is>
          <t>WR</t>
        </is>
      </c>
      <c r="F177" s="6" t="n"/>
      <c r="G177" s="6" t="n"/>
      <c r="H177" s="6" t="n">
        <v>4.8</v>
      </c>
      <c r="I177" s="6" t="n"/>
      <c r="J177" s="6" t="n"/>
      <c r="K177" s="6" t="n"/>
      <c r="L177" s="6" t="n"/>
      <c r="M177" s="7">
        <f>F177*Settings!$B$4+G177*Settings!$B$5+H177*Settings!$B$6+I177*Settings!$B$7+J177*Settings!$B$8+K177*Settings!$B$9+L177*Settings!$B$10</f>
        <v/>
      </c>
      <c r="N177" s="8">
        <f>M177-INDEX(Settings!$G$4:$G$9,MATCH($E177,Settings!$F$4:$F$9,0))</f>
        <v/>
      </c>
      <c r="O177" s="7">
        <f>N177*INDEX(Settings!$H$4:$H$9,MATCH($E177,Settings!$F$4:$F$9,0))</f>
        <v/>
      </c>
      <c r="P177" s="3" t="inlineStr">
        <is>
          <t>HIGH</t>
        </is>
      </c>
      <c r="Q177" s="5" t="inlineStr"/>
    </row>
    <row r="178">
      <c r="A178" s="3" t="n">
        <v>176</v>
      </c>
      <c r="B178" s="10" t="inlineStr">
        <is>
          <t>WR44</t>
        </is>
      </c>
      <c r="C178" s="5" t="inlineStr">
        <is>
          <t>Chris Godwin</t>
        </is>
      </c>
      <c r="D178" s="3" t="inlineStr">
        <is>
          <t>TB</t>
        </is>
      </c>
      <c r="E178" s="10" t="inlineStr">
        <is>
          <t>WR</t>
        </is>
      </c>
      <c r="F178" s="6" t="n"/>
      <c r="G178" s="6" t="n"/>
      <c r="H178" s="6" t="n">
        <v>4.8</v>
      </c>
      <c r="I178" s="6" t="n"/>
      <c r="J178" s="6" t="n"/>
      <c r="K178" s="6" t="n"/>
      <c r="L178" s="6" t="n"/>
      <c r="M178" s="7">
        <f>F178*Settings!$B$4+G178*Settings!$B$5+H178*Settings!$B$6+I178*Settings!$B$7+J178*Settings!$B$8+K178*Settings!$B$9+L178*Settings!$B$10</f>
        <v/>
      </c>
      <c r="N178" s="8">
        <f>M178-INDEX(Settings!$G$4:$G$9,MATCH($E178,Settings!$F$4:$F$9,0))</f>
        <v/>
      </c>
      <c r="O178" s="7">
        <f>N178*INDEX(Settings!$H$4:$H$9,MATCH($E178,Settings!$F$4:$F$9,0))</f>
        <v/>
      </c>
      <c r="P178" s="3" t="inlineStr">
        <is>
          <t>HIGH</t>
        </is>
      </c>
      <c r="Q178" s="5" t="inlineStr"/>
    </row>
    <row r="179">
      <c r="A179" s="3" t="n">
        <v>177</v>
      </c>
      <c r="B179" s="11" t="inlineStr">
        <is>
          <t>K23</t>
        </is>
      </c>
      <c r="C179" s="5" t="inlineStr">
        <is>
          <t>Andres Borregales</t>
        </is>
      </c>
      <c r="D179" s="3" t="inlineStr">
        <is>
          <t>NE</t>
        </is>
      </c>
      <c r="E179" s="11" t="inlineStr">
        <is>
          <t>K</t>
        </is>
      </c>
      <c r="F179" s="6" t="n"/>
      <c r="G179" s="6" t="n"/>
      <c r="H179" s="6" t="n"/>
      <c r="I179" s="6" t="n">
        <v>26</v>
      </c>
      <c r="J179" s="6" t="n">
        <v>42</v>
      </c>
      <c r="K179" s="6" t="n"/>
      <c r="L179" s="6" t="n"/>
      <c r="M179" s="7">
        <f>F179*Settings!$B$4+G179*Settings!$B$5+H179*Settings!$B$6+I179*Settings!$B$7+J179*Settings!$B$8+K179*Settings!$B$9+L179*Settings!$B$10</f>
        <v/>
      </c>
      <c r="N179" s="8">
        <f>M179-INDEX(Settings!$G$4:$G$9,MATCH($E179,Settings!$F$4:$F$9,0))</f>
        <v/>
      </c>
      <c r="O179" s="7">
        <f>N179*INDEX(Settings!$H$4:$H$9,MATCH($E179,Settings!$F$4:$F$9,0))</f>
        <v/>
      </c>
      <c r="P179" s="3" t="inlineStr">
        <is>
          <t>MEDIUM</t>
        </is>
      </c>
      <c r="Q179" s="5" t="inlineStr"/>
    </row>
    <row r="180">
      <c r="A180" s="3" t="n">
        <v>178</v>
      </c>
      <c r="B180" s="11" t="inlineStr">
        <is>
          <t>K24</t>
        </is>
      </c>
      <c r="C180" s="5" t="inlineStr">
        <is>
          <t>Drew Stevens</t>
        </is>
      </c>
      <c r="D180" s="3" t="inlineStr">
        <is>
          <t>WAS</t>
        </is>
      </c>
      <c r="E180" s="11" t="inlineStr">
        <is>
          <t>K</t>
        </is>
      </c>
      <c r="F180" s="6" t="n"/>
      <c r="G180" s="6" t="n"/>
      <c r="H180" s="6" t="n"/>
      <c r="I180" s="6" t="n">
        <v>27</v>
      </c>
      <c r="J180" s="6" t="n">
        <v>39</v>
      </c>
      <c r="K180" s="6" t="n"/>
      <c r="L180" s="6" t="n"/>
      <c r="M180" s="7">
        <f>F180*Settings!$B$4+G180*Settings!$B$5+H180*Settings!$B$6+I180*Settings!$B$7+J180*Settings!$B$8+K180*Settings!$B$9+L180*Settings!$B$10</f>
        <v/>
      </c>
      <c r="N180" s="8">
        <f>M180-INDEX(Settings!$G$4:$G$9,MATCH($E180,Settings!$F$4:$F$9,0))</f>
        <v/>
      </c>
      <c r="O180" s="7">
        <f>N180*INDEX(Settings!$H$4:$H$9,MATCH($E180,Settings!$F$4:$F$9,0))</f>
        <v/>
      </c>
      <c r="P180" s="3" t="inlineStr">
        <is>
          <t>LOW</t>
        </is>
      </c>
      <c r="Q180" s="5" t="inlineStr">
        <is>
          <t>Rookie</t>
        </is>
      </c>
    </row>
    <row r="181">
      <c r="A181" s="3" t="n">
        <v>179</v>
      </c>
      <c r="B181" s="4" t="inlineStr">
        <is>
          <t>QB19</t>
        </is>
      </c>
      <c r="C181" s="5" t="inlineStr">
        <is>
          <t>Jordan Love</t>
        </is>
      </c>
      <c r="D181" s="3" t="inlineStr">
        <is>
          <t>GB</t>
        </is>
      </c>
      <c r="E181" s="4" t="inlineStr">
        <is>
          <t>QB</t>
        </is>
      </c>
      <c r="F181" s="6" t="n">
        <v>26.5</v>
      </c>
      <c r="G181" s="6" t="n">
        <v>1.5</v>
      </c>
      <c r="H181" s="6" t="n"/>
      <c r="I181" s="6" t="n"/>
      <c r="J181" s="6" t="n"/>
      <c r="K181" s="6" t="n"/>
      <c r="L181" s="6" t="n"/>
      <c r="M181" s="7">
        <f>F181*Settings!$B$4+G181*Settings!$B$5+H181*Settings!$B$6+I181*Settings!$B$7+J181*Settings!$B$8+K181*Settings!$B$9+L181*Settings!$B$10</f>
        <v/>
      </c>
      <c r="N181" s="8">
        <f>M181-INDEX(Settings!$G$4:$G$9,MATCH($E181,Settings!$F$4:$F$9,0))</f>
        <v/>
      </c>
      <c r="O181" s="7">
        <f>N181*INDEX(Settings!$H$4:$H$9,MATCH($E181,Settings!$F$4:$F$9,0))</f>
        <v/>
      </c>
      <c r="P181" s="3" t="inlineStr">
        <is>
          <t>HIGH</t>
        </is>
      </c>
      <c r="Q181" s="5" t="inlineStr"/>
    </row>
    <row r="182">
      <c r="A182" s="3" t="n">
        <v>180</v>
      </c>
      <c r="B182" s="12" t="inlineStr">
        <is>
          <t>TE29</t>
        </is>
      </c>
      <c r="C182" s="5" t="inlineStr">
        <is>
          <t>Greg Dulcich</t>
        </is>
      </c>
      <c r="D182" s="3" t="inlineStr">
        <is>
          <t>MIA</t>
        </is>
      </c>
      <c r="E182" s="12" t="inlineStr">
        <is>
          <t>TE</t>
        </is>
      </c>
      <c r="F182" s="6" t="n"/>
      <c r="G182" s="6" t="n"/>
      <c r="H182" s="6" t="n">
        <v>2.9</v>
      </c>
      <c r="I182" s="6" t="n"/>
      <c r="J182" s="6" t="n"/>
      <c r="K182" s="6" t="n"/>
      <c r="L182" s="6" t="n"/>
      <c r="M182" s="7">
        <f>F182*Settings!$B$4+G182*Settings!$B$5+H182*Settings!$B$6+I182*Settings!$B$7+J182*Settings!$B$8+K182*Settings!$B$9+L182*Settings!$B$10</f>
        <v/>
      </c>
      <c r="N182" s="8">
        <f>M182-INDEX(Settings!$G$4:$G$9,MATCH($E182,Settings!$F$4:$F$9,0))</f>
        <v/>
      </c>
      <c r="O182" s="7">
        <f>N182*INDEX(Settings!$H$4:$H$9,MATCH($E182,Settings!$F$4:$F$9,0))</f>
        <v/>
      </c>
      <c r="P182" s="3" t="inlineStr">
        <is>
          <t>MEDIUM</t>
        </is>
      </c>
      <c r="Q182" s="5" t="inlineStr"/>
    </row>
    <row r="183">
      <c r="A183" s="3" t="n">
        <v>181</v>
      </c>
      <c r="B183" s="12" t="inlineStr">
        <is>
          <t>TE30</t>
        </is>
      </c>
      <c r="C183" s="5" t="inlineStr">
        <is>
          <t>Juwan Johnson</t>
        </is>
      </c>
      <c r="D183" s="3" t="inlineStr">
        <is>
          <t>NO</t>
        </is>
      </c>
      <c r="E183" s="12" t="inlineStr">
        <is>
          <t>TE</t>
        </is>
      </c>
      <c r="F183" s="6" t="n"/>
      <c r="G183" s="6" t="n"/>
      <c r="H183" s="6" t="n">
        <v>2.9</v>
      </c>
      <c r="I183" s="6" t="n"/>
      <c r="J183" s="6" t="n"/>
      <c r="K183" s="6" t="n"/>
      <c r="L183" s="6" t="n"/>
      <c r="M183" s="7">
        <f>F183*Settings!$B$4+G183*Settings!$B$5+H183*Settings!$B$6+I183*Settings!$B$7+J183*Settings!$B$8+K183*Settings!$B$9+L183*Settings!$B$10</f>
        <v/>
      </c>
      <c r="N183" s="8">
        <f>M183-INDEX(Settings!$G$4:$G$9,MATCH($E183,Settings!$F$4:$F$9,0))</f>
        <v/>
      </c>
      <c r="O183" s="7">
        <f>N183*INDEX(Settings!$H$4:$H$9,MATCH($E183,Settings!$F$4:$F$9,0))</f>
        <v/>
      </c>
      <c r="P183" s="3" t="inlineStr">
        <is>
          <t>HIGH</t>
        </is>
      </c>
      <c r="Q183" s="5" t="inlineStr"/>
    </row>
    <row r="184">
      <c r="A184" s="3" t="n">
        <v>182</v>
      </c>
      <c r="B184" s="12" t="inlineStr">
        <is>
          <t>TE31</t>
        </is>
      </c>
      <c r="C184" s="5" t="inlineStr">
        <is>
          <t>T.J. Hockenson</t>
        </is>
      </c>
      <c r="D184" s="3" t="inlineStr">
        <is>
          <t>MIN</t>
        </is>
      </c>
      <c r="E184" s="12" t="inlineStr">
        <is>
          <t>TE</t>
        </is>
      </c>
      <c r="F184" s="6" t="n"/>
      <c r="G184" s="6" t="n"/>
      <c r="H184" s="6" t="n">
        <v>2.9</v>
      </c>
      <c r="I184" s="6" t="n"/>
      <c r="J184" s="6" t="n"/>
      <c r="K184" s="6" t="n"/>
      <c r="L184" s="6" t="n"/>
      <c r="M184" s="7">
        <f>F184*Settings!$B$4+G184*Settings!$B$5+H184*Settings!$B$6+I184*Settings!$B$7+J184*Settings!$B$8+K184*Settings!$B$9+L184*Settings!$B$10</f>
        <v/>
      </c>
      <c r="N184" s="8">
        <f>M184-INDEX(Settings!$G$4:$G$9,MATCH($E184,Settings!$F$4:$F$9,0))</f>
        <v/>
      </c>
      <c r="O184" s="7">
        <f>N184*INDEX(Settings!$H$4:$H$9,MATCH($E184,Settings!$F$4:$F$9,0))</f>
        <v/>
      </c>
      <c r="P184" s="3" t="inlineStr">
        <is>
          <t>HIGH</t>
        </is>
      </c>
      <c r="Q184" s="5" t="inlineStr"/>
    </row>
    <row r="185">
      <c r="A185" s="3" t="n">
        <v>183</v>
      </c>
      <c r="B185" s="12" t="inlineStr">
        <is>
          <t>TE32</t>
        </is>
      </c>
      <c r="C185" s="5" t="inlineStr">
        <is>
          <t>Dawson Knox</t>
        </is>
      </c>
      <c r="D185" s="3" t="inlineStr">
        <is>
          <t>BUF</t>
        </is>
      </c>
      <c r="E185" s="12" t="inlineStr">
        <is>
          <t>TE</t>
        </is>
      </c>
      <c r="F185" s="6" t="n"/>
      <c r="G185" s="6" t="n"/>
      <c r="H185" s="6" t="n">
        <v>2.9</v>
      </c>
      <c r="I185" s="6" t="n"/>
      <c r="J185" s="6" t="n"/>
      <c r="K185" s="6" t="n"/>
      <c r="L185" s="6" t="n"/>
      <c r="M185" s="7">
        <f>F185*Settings!$B$4+G185*Settings!$B$5+H185*Settings!$B$6+I185*Settings!$B$7+J185*Settings!$B$8+K185*Settings!$B$9+L185*Settings!$B$10</f>
        <v/>
      </c>
      <c r="N185" s="8">
        <f>M185-INDEX(Settings!$G$4:$G$9,MATCH($E185,Settings!$F$4:$F$9,0))</f>
        <v/>
      </c>
      <c r="O185" s="7">
        <f>N185*INDEX(Settings!$H$4:$H$9,MATCH($E185,Settings!$F$4:$F$9,0))</f>
        <v/>
      </c>
      <c r="P185" s="3" t="inlineStr">
        <is>
          <t>HIGH</t>
        </is>
      </c>
      <c r="Q185" s="5" t="inlineStr"/>
    </row>
    <row r="186">
      <c r="A186" s="3" t="n">
        <v>184</v>
      </c>
      <c r="B186" s="10" t="inlineStr">
        <is>
          <t>WR45</t>
        </is>
      </c>
      <c r="C186" s="5" t="inlineStr">
        <is>
          <t>Makai Lemon</t>
        </is>
      </c>
      <c r="D186" s="3" t="inlineStr">
        <is>
          <t>PHI</t>
        </is>
      </c>
      <c r="E186" s="10" t="inlineStr">
        <is>
          <t>WR</t>
        </is>
      </c>
      <c r="F186" s="6" t="n"/>
      <c r="G186" s="6" t="n"/>
      <c r="H186" s="6" t="n">
        <v>4.7</v>
      </c>
      <c r="I186" s="6" t="n"/>
      <c r="J186" s="6" t="n"/>
      <c r="K186" s="6" t="n"/>
      <c r="L186" s="6" t="n"/>
      <c r="M186" s="7">
        <f>F186*Settings!$B$4+G186*Settings!$B$5+H186*Settings!$B$6+I186*Settings!$B$7+J186*Settings!$B$8+K186*Settings!$B$9+L186*Settings!$B$10</f>
        <v/>
      </c>
      <c r="N186" s="8">
        <f>M186-INDEX(Settings!$G$4:$G$9,MATCH($E186,Settings!$F$4:$F$9,0))</f>
        <v/>
      </c>
      <c r="O186" s="7">
        <f>N186*INDEX(Settings!$H$4:$H$9,MATCH($E186,Settings!$F$4:$F$9,0))</f>
        <v/>
      </c>
      <c r="P186" s="3" t="inlineStr">
        <is>
          <t>LOW</t>
        </is>
      </c>
      <c r="Q186" s="5" t="inlineStr"/>
    </row>
    <row r="187">
      <c r="A187" s="3" t="n">
        <v>185</v>
      </c>
      <c r="B187" s="11" t="inlineStr">
        <is>
          <t>K25</t>
        </is>
      </c>
      <c r="C187" s="5" t="inlineStr">
        <is>
          <t>Riley Patterson</t>
        </is>
      </c>
      <c r="D187" s="3" t="inlineStr">
        <is>
          <t>MIA</t>
        </is>
      </c>
      <c r="E187" s="11" t="inlineStr">
        <is>
          <t>K</t>
        </is>
      </c>
      <c r="F187" s="6" t="n"/>
      <c r="G187" s="6" t="n"/>
      <c r="H187" s="6" t="n"/>
      <c r="I187" s="6" t="n">
        <v>27</v>
      </c>
      <c r="J187" s="6" t="n">
        <v>38</v>
      </c>
      <c r="K187" s="6" t="n"/>
      <c r="L187" s="6" t="n"/>
      <c r="M187" s="7">
        <f>F187*Settings!$B$4+G187*Settings!$B$5+H187*Settings!$B$6+I187*Settings!$B$7+J187*Settings!$B$8+K187*Settings!$B$9+L187*Settings!$B$10</f>
        <v/>
      </c>
      <c r="N187" s="8">
        <f>M187-INDEX(Settings!$G$4:$G$9,MATCH($E187,Settings!$F$4:$F$9,0))</f>
        <v/>
      </c>
      <c r="O187" s="7">
        <f>N187*INDEX(Settings!$H$4:$H$9,MATCH($E187,Settings!$F$4:$F$9,0))</f>
        <v/>
      </c>
      <c r="P187" s="3" t="inlineStr">
        <is>
          <t>LOW</t>
        </is>
      </c>
      <c r="Q187" s="5" t="inlineStr">
        <is>
          <t>Zane Gonzalez on roster</t>
        </is>
      </c>
    </row>
    <row r="188">
      <c r="A188" s="3" t="n">
        <v>186</v>
      </c>
      <c r="B188" s="11" t="inlineStr">
        <is>
          <t>K26</t>
        </is>
      </c>
      <c r="C188" s="5" t="inlineStr">
        <is>
          <t>Jake Elliott</t>
        </is>
      </c>
      <c r="D188" s="3" t="inlineStr">
        <is>
          <t>PHI</t>
        </is>
      </c>
      <c r="E188" s="11" t="inlineStr">
        <is>
          <t>K</t>
        </is>
      </c>
      <c r="F188" s="6" t="n"/>
      <c r="G188" s="6" t="n"/>
      <c r="H188" s="6" t="n"/>
      <c r="I188" s="6" t="n">
        <v>26</v>
      </c>
      <c r="J188" s="6" t="n">
        <v>41</v>
      </c>
      <c r="K188" s="6" t="n"/>
      <c r="L188" s="6" t="n"/>
      <c r="M188" s="7">
        <f>F188*Settings!$B$4+G188*Settings!$B$5+H188*Settings!$B$6+I188*Settings!$B$7+J188*Settings!$B$8+K188*Settings!$B$9+L188*Settings!$B$10</f>
        <v/>
      </c>
      <c r="N188" s="8">
        <f>M188-INDEX(Settings!$G$4:$G$9,MATCH($E188,Settings!$F$4:$F$9,0))</f>
        <v/>
      </c>
      <c r="O188" s="7">
        <f>N188*INDEX(Settings!$H$4:$H$9,MATCH($E188,Settings!$F$4:$F$9,0))</f>
        <v/>
      </c>
      <c r="P188" s="3" t="inlineStr">
        <is>
          <t>MEDIUM</t>
        </is>
      </c>
      <c r="Q188" s="5" t="inlineStr">
        <is>
          <t>74.1 pct in 2025 (worst); PHI best RZ TD pct</t>
        </is>
      </c>
    </row>
    <row r="189">
      <c r="A189" s="3" t="n">
        <v>187</v>
      </c>
      <c r="B189" s="10" t="inlineStr">
        <is>
          <t>WR46</t>
        </is>
      </c>
      <c r="C189" s="5" t="inlineStr">
        <is>
          <t>Xavier Worthy</t>
        </is>
      </c>
      <c r="D189" s="3" t="inlineStr">
        <is>
          <t>KC</t>
        </is>
      </c>
      <c r="E189" s="10" t="inlineStr">
        <is>
          <t>WR</t>
        </is>
      </c>
      <c r="F189" s="6" t="n"/>
      <c r="G189" s="6" t="n">
        <v>0.3</v>
      </c>
      <c r="H189" s="6" t="n">
        <v>4.3</v>
      </c>
      <c r="I189" s="6" t="n"/>
      <c r="J189" s="6" t="n"/>
      <c r="K189" s="6" t="n"/>
      <c r="L189" s="6" t="n"/>
      <c r="M189" s="7">
        <f>F189*Settings!$B$4+G189*Settings!$B$5+H189*Settings!$B$6+I189*Settings!$B$7+J189*Settings!$B$8+K189*Settings!$B$9+L189*Settings!$B$10</f>
        <v/>
      </c>
      <c r="N189" s="8">
        <f>M189-INDEX(Settings!$G$4:$G$9,MATCH($E189,Settings!$F$4:$F$9,0))</f>
        <v/>
      </c>
      <c r="O189" s="7">
        <f>N189*INDEX(Settings!$H$4:$H$9,MATCH($E189,Settings!$F$4:$F$9,0))</f>
        <v/>
      </c>
      <c r="P189" s="3" t="inlineStr">
        <is>
          <t>HIGH</t>
        </is>
      </c>
      <c r="Q189" s="5" t="inlineStr"/>
    </row>
    <row r="190">
      <c r="A190" s="3" t="n">
        <v>188</v>
      </c>
      <c r="B190" s="9" t="inlineStr">
        <is>
          <t>RB33</t>
        </is>
      </c>
      <c r="C190" s="5" t="inlineStr">
        <is>
          <t>Rico Dowdle</t>
        </is>
      </c>
      <c r="D190" s="3" t="inlineStr">
        <is>
          <t>PIT</t>
        </is>
      </c>
      <c r="E190" s="9" t="inlineStr">
        <is>
          <t>RB</t>
        </is>
      </c>
      <c r="F190" s="6" t="n"/>
      <c r="G190" s="6" t="n">
        <v>5.2</v>
      </c>
      <c r="H190" s="6" t="n">
        <v>1.1</v>
      </c>
      <c r="I190" s="6" t="n"/>
      <c r="J190" s="6" t="n"/>
      <c r="K190" s="6" t="n"/>
      <c r="L190" s="6" t="n"/>
      <c r="M190" s="7">
        <f>F190*Settings!$B$4+G190*Settings!$B$5+H190*Settings!$B$6+I190*Settings!$B$7+J190*Settings!$B$8+K190*Settings!$B$9+L190*Settings!$B$10</f>
        <v/>
      </c>
      <c r="N190" s="8">
        <f>M190-INDEX(Settings!$G$4:$G$9,MATCH($E190,Settings!$F$4:$F$9,0))</f>
        <v/>
      </c>
      <c r="O190" s="7">
        <f>N190*INDEX(Settings!$H$4:$H$9,MATCH($E190,Settings!$F$4:$F$9,0))</f>
        <v/>
      </c>
      <c r="P190" s="3" t="inlineStr">
        <is>
          <t>HIGH</t>
        </is>
      </c>
      <c r="Q190" s="5" t="inlineStr">
        <is>
          <t>True 50-50 with Warren</t>
        </is>
      </c>
    </row>
    <row r="191">
      <c r="A191" s="3" t="n">
        <v>189</v>
      </c>
      <c r="B191" s="10" t="inlineStr">
        <is>
          <t>WR47</t>
        </is>
      </c>
      <c r="C191" s="5" t="inlineStr">
        <is>
          <t>De'Zhaun Stribling</t>
        </is>
      </c>
      <c r="D191" s="3" t="inlineStr">
        <is>
          <t>SF</t>
        </is>
      </c>
      <c r="E191" s="10" t="inlineStr">
        <is>
          <t>WR</t>
        </is>
      </c>
      <c r="F191" s="6" t="n"/>
      <c r="G191" s="6" t="n"/>
      <c r="H191" s="6" t="n">
        <v>4.5</v>
      </c>
      <c r="I191" s="6" t="n"/>
      <c r="J191" s="6" t="n"/>
      <c r="K191" s="6" t="n"/>
      <c r="L191" s="6" t="n"/>
      <c r="M191" s="7">
        <f>F191*Settings!$B$4+G191*Settings!$B$5+H191*Settings!$B$6+I191*Settings!$B$7+J191*Settings!$B$8+K191*Settings!$B$9+L191*Settings!$B$10</f>
        <v/>
      </c>
      <c r="N191" s="8">
        <f>M191-INDEX(Settings!$G$4:$G$9,MATCH($E191,Settings!$F$4:$F$9,0))</f>
        <v/>
      </c>
      <c r="O191" s="7">
        <f>N191*INDEX(Settings!$H$4:$H$9,MATCH($E191,Settings!$F$4:$F$9,0))</f>
        <v/>
      </c>
      <c r="P191" s="3" t="inlineStr">
        <is>
          <t>LOW</t>
        </is>
      </c>
      <c r="Q191" s="5" t="inlineStr"/>
    </row>
    <row r="192">
      <c r="A192" s="3" t="n">
        <v>190</v>
      </c>
      <c r="B192" s="10" t="inlineStr">
        <is>
          <t>WR48</t>
        </is>
      </c>
      <c r="C192" s="5" t="inlineStr">
        <is>
          <t>Michael Pittman Jr.</t>
        </is>
      </c>
      <c r="D192" s="3" t="inlineStr">
        <is>
          <t>PIT</t>
        </is>
      </c>
      <c r="E192" s="10" t="inlineStr">
        <is>
          <t>WR</t>
        </is>
      </c>
      <c r="F192" s="6" t="n"/>
      <c r="G192" s="6" t="n"/>
      <c r="H192" s="6" t="n">
        <v>4.5</v>
      </c>
      <c r="I192" s="6" t="n"/>
      <c r="J192" s="6" t="n"/>
      <c r="K192" s="6" t="n"/>
      <c r="L192" s="6" t="n"/>
      <c r="M192" s="7">
        <f>F192*Settings!$B$4+G192*Settings!$B$5+H192*Settings!$B$6+I192*Settings!$B$7+J192*Settings!$B$8+K192*Settings!$B$9+L192*Settings!$B$10</f>
        <v/>
      </c>
      <c r="N192" s="8">
        <f>M192-INDEX(Settings!$G$4:$G$9,MATCH($E192,Settings!$F$4:$F$9,0))</f>
        <v/>
      </c>
      <c r="O192" s="7">
        <f>N192*INDEX(Settings!$H$4:$H$9,MATCH($E192,Settings!$F$4:$F$9,0))</f>
        <v/>
      </c>
      <c r="P192" s="3" t="inlineStr">
        <is>
          <t>HIGH</t>
        </is>
      </c>
      <c r="Q192" s="5" t="inlineStr"/>
    </row>
    <row r="193">
      <c r="A193" s="3" t="n">
        <v>191</v>
      </c>
      <c r="B193" s="9" t="inlineStr">
        <is>
          <t>RB34</t>
        </is>
      </c>
      <c r="C193" s="5" t="inlineStr">
        <is>
          <t>Chuba Hubbard</t>
        </is>
      </c>
      <c r="D193" s="3" t="inlineStr">
        <is>
          <t>CAR</t>
        </is>
      </c>
      <c r="E193" s="9" t="inlineStr">
        <is>
          <t>RB</t>
        </is>
      </c>
      <c r="F193" s="6" t="n"/>
      <c r="G193" s="6" t="n">
        <v>4.9</v>
      </c>
      <c r="H193" s="6" t="n">
        <v>1.2</v>
      </c>
      <c r="I193" s="6" t="n"/>
      <c r="J193" s="6" t="n"/>
      <c r="K193" s="6" t="n"/>
      <c r="L193" s="6" t="n"/>
      <c r="M193" s="7">
        <f>F193*Settings!$B$4+G193*Settings!$B$5+H193*Settings!$B$6+I193*Settings!$B$7+J193*Settings!$B$8+K193*Settings!$B$9+L193*Settings!$B$10</f>
        <v/>
      </c>
      <c r="N193" s="8">
        <f>M193-INDEX(Settings!$G$4:$G$9,MATCH($E193,Settings!$F$4:$F$9,0))</f>
        <v/>
      </c>
      <c r="O193" s="7">
        <f>N193*INDEX(Settings!$H$4:$H$9,MATCH($E193,Settings!$F$4:$F$9,0))</f>
        <v/>
      </c>
      <c r="P193" s="3" t="inlineStr">
        <is>
          <t>MEDIUM</t>
        </is>
      </c>
      <c r="Q193" s="5" t="inlineStr"/>
    </row>
    <row r="194">
      <c r="A194" s="3" t="n">
        <v>192</v>
      </c>
      <c r="B194" s="9" t="inlineStr">
        <is>
          <t>RB35</t>
        </is>
      </c>
      <c r="C194" s="5" t="inlineStr">
        <is>
          <t>Tony Pollard</t>
        </is>
      </c>
      <c r="D194" s="3" t="inlineStr">
        <is>
          <t>TEN</t>
        </is>
      </c>
      <c r="E194" s="9" t="inlineStr">
        <is>
          <t>RB</t>
        </is>
      </c>
      <c r="F194" s="6" t="n"/>
      <c r="G194" s="6" t="n">
        <v>5.2</v>
      </c>
      <c r="H194" s="6" t="n">
        <v>0.8</v>
      </c>
      <c r="I194" s="6" t="n"/>
      <c r="J194" s="6" t="n"/>
      <c r="K194" s="6" t="n"/>
      <c r="L194" s="6" t="n"/>
      <c r="M194" s="7">
        <f>F194*Settings!$B$4+G194*Settings!$B$5+H194*Settings!$B$6+I194*Settings!$B$7+J194*Settings!$B$8+K194*Settings!$B$9+L194*Settings!$B$10</f>
        <v/>
      </c>
      <c r="N194" s="8">
        <f>M194-INDEX(Settings!$G$4:$G$9,MATCH($E194,Settings!$F$4:$F$9,0))</f>
        <v/>
      </c>
      <c r="O194" s="7">
        <f>N194*INDEX(Settings!$H$4:$H$9,MATCH($E194,Settings!$F$4:$F$9,0))</f>
        <v/>
      </c>
      <c r="P194" s="3" t="inlineStr">
        <is>
          <t>HIGH</t>
        </is>
      </c>
      <c r="Q194" s="5" t="inlineStr"/>
    </row>
    <row r="195">
      <c r="A195" s="3" t="n">
        <v>193</v>
      </c>
      <c r="B195" s="11" t="inlineStr">
        <is>
          <t>K27</t>
        </is>
      </c>
      <c r="C195" s="5" t="inlineStr">
        <is>
          <t>Chad Ryland</t>
        </is>
      </c>
      <c r="D195" s="3" t="inlineStr">
        <is>
          <t>ARI</t>
        </is>
      </c>
      <c r="E195" s="11" t="inlineStr">
        <is>
          <t>K</t>
        </is>
      </c>
      <c r="F195" s="6" t="n"/>
      <c r="G195" s="6" t="n"/>
      <c r="H195" s="6" t="n"/>
      <c r="I195" s="6" t="n">
        <v>26</v>
      </c>
      <c r="J195" s="6" t="n">
        <v>37</v>
      </c>
      <c r="K195" s="6" t="n"/>
      <c r="L195" s="6" t="n"/>
      <c r="M195" s="7">
        <f>F195*Settings!$B$4+G195*Settings!$B$5+H195*Settings!$B$6+I195*Settings!$B$7+J195*Settings!$B$8+K195*Settings!$B$9+L195*Settings!$B$10</f>
        <v/>
      </c>
      <c r="N195" s="8">
        <f>M195-INDEX(Settings!$G$4:$G$9,MATCH($E195,Settings!$F$4:$F$9,0))</f>
        <v/>
      </c>
      <c r="O195" s="7">
        <f>N195*INDEX(Settings!$H$4:$H$9,MATCH($E195,Settings!$F$4:$F$9,0))</f>
        <v/>
      </c>
      <c r="P195" s="3" t="inlineStr">
        <is>
          <t>MEDIUM</t>
        </is>
      </c>
      <c r="Q195" s="5" t="inlineStr">
        <is>
          <t>ARI 4.5 win total</t>
        </is>
      </c>
    </row>
    <row r="196">
      <c r="A196" s="3" t="n">
        <v>194</v>
      </c>
      <c r="B196" s="11" t="inlineStr">
        <is>
          <t>K28</t>
        </is>
      </c>
      <c r="C196" s="5" t="inlineStr">
        <is>
          <t>Giants Kicker</t>
        </is>
      </c>
      <c r="D196" s="3" t="inlineStr">
        <is>
          <t>NYG</t>
        </is>
      </c>
      <c r="E196" s="11" t="inlineStr">
        <is>
          <t>K</t>
        </is>
      </c>
      <c r="F196" s="6" t="n"/>
      <c r="G196" s="6" t="n"/>
      <c r="H196" s="6" t="n"/>
      <c r="I196" s="6" t="n">
        <v>27</v>
      </c>
      <c r="J196" s="6" t="n">
        <v>34</v>
      </c>
      <c r="K196" s="6" t="n"/>
      <c r="L196" s="6" t="n"/>
      <c r="M196" s="7">
        <f>F196*Settings!$B$4+G196*Settings!$B$5+H196*Settings!$B$6+I196*Settings!$B$7+J196*Settings!$B$8+K196*Settings!$B$9+L196*Settings!$B$10</f>
        <v/>
      </c>
      <c r="N196" s="8">
        <f>M196-INDEX(Settings!$G$4:$G$9,MATCH($E196,Settings!$F$4:$F$9,0))</f>
        <v/>
      </c>
      <c r="O196" s="7">
        <f>N196*INDEX(Settings!$H$4:$H$9,MATCH($E196,Settings!$F$4:$F$9,0))</f>
        <v/>
      </c>
      <c r="P196" s="3" t="inlineStr">
        <is>
          <t>LOW</t>
        </is>
      </c>
      <c r="Q196" s="5" t="inlineStr">
        <is>
          <t>Open battle Sauls vs Zvada; avoid</t>
        </is>
      </c>
    </row>
    <row r="197">
      <c r="A197" s="3" t="n">
        <v>195</v>
      </c>
      <c r="B197" s="10" t="inlineStr">
        <is>
          <t>WR49</t>
        </is>
      </c>
      <c r="C197" s="5" t="inlineStr">
        <is>
          <t>Stefon Diggs</t>
        </is>
      </c>
      <c r="D197" s="3" t="inlineStr">
        <is>
          <t>WAS</t>
        </is>
      </c>
      <c r="E197" s="10" t="inlineStr">
        <is>
          <t>WR</t>
        </is>
      </c>
      <c r="F197" s="6" t="n"/>
      <c r="G197" s="6" t="n"/>
      <c r="H197" s="6" t="n">
        <v>4.2</v>
      </c>
      <c r="I197" s="6" t="n"/>
      <c r="J197" s="6" t="n"/>
      <c r="K197" s="6" t="n"/>
      <c r="L197" s="6" t="n"/>
      <c r="M197" s="7">
        <f>F197*Settings!$B$4+G197*Settings!$B$5+H197*Settings!$B$6+I197*Settings!$B$7+J197*Settings!$B$8+K197*Settings!$B$9+L197*Settings!$B$10</f>
        <v/>
      </c>
      <c r="N197" s="8">
        <f>M197-INDEX(Settings!$G$4:$G$9,MATCH($E197,Settings!$F$4:$F$9,0))</f>
        <v/>
      </c>
      <c r="O197" s="7">
        <f>N197*INDEX(Settings!$H$4:$H$9,MATCH($E197,Settings!$F$4:$F$9,0))</f>
        <v/>
      </c>
      <c r="P197" s="3" t="inlineStr">
        <is>
          <t>HIGH</t>
        </is>
      </c>
      <c r="Q197" s="5" t="inlineStr"/>
    </row>
    <row r="198">
      <c r="A198" s="3" t="n">
        <v>196</v>
      </c>
      <c r="B198" s="9" t="inlineStr">
        <is>
          <t>RB36</t>
        </is>
      </c>
      <c r="C198" s="5" t="inlineStr">
        <is>
          <t>Kyle Monangai</t>
        </is>
      </c>
      <c r="D198" s="3" t="inlineStr">
        <is>
          <t>CHI</t>
        </is>
      </c>
      <c r="E198" s="9" t="inlineStr">
        <is>
          <t>RB</t>
        </is>
      </c>
      <c r="F198" s="6" t="n"/>
      <c r="G198" s="6" t="n">
        <v>5.2</v>
      </c>
      <c r="H198" s="6" t="n">
        <v>0.7</v>
      </c>
      <c r="I198" s="6" t="n"/>
      <c r="J198" s="6" t="n"/>
      <c r="K198" s="6" t="n"/>
      <c r="L198" s="6" t="n"/>
      <c r="M198" s="7">
        <f>F198*Settings!$B$4+G198*Settings!$B$5+H198*Settings!$B$6+I198*Settings!$B$7+J198*Settings!$B$8+K198*Settings!$B$9+L198*Settings!$B$10</f>
        <v/>
      </c>
      <c r="N198" s="8">
        <f>M198-INDEX(Settings!$G$4:$G$9,MATCH($E198,Settings!$F$4:$F$9,0))</f>
        <v/>
      </c>
      <c r="O198" s="7">
        <f>N198*INDEX(Settings!$H$4:$H$9,MATCH($E198,Settings!$F$4:$F$9,0))</f>
        <v/>
      </c>
      <c r="P198" s="3" t="inlineStr">
        <is>
          <t>MEDIUM</t>
        </is>
      </c>
      <c r="Q198" s="5" t="inlineStr"/>
    </row>
    <row r="199">
      <c r="A199" s="3" t="n">
        <v>197</v>
      </c>
      <c r="B199" s="4" t="inlineStr">
        <is>
          <t>QB20</t>
        </is>
      </c>
      <c r="C199" s="5" t="inlineStr">
        <is>
          <t>Baker Mayfield</t>
        </is>
      </c>
      <c r="D199" s="3" t="inlineStr">
        <is>
          <t>TB</t>
        </is>
      </c>
      <c r="E199" s="4" t="inlineStr">
        <is>
          <t>QB</t>
        </is>
      </c>
      <c r="F199" s="6" t="n">
        <v>25.5</v>
      </c>
      <c r="G199" s="6" t="n">
        <v>1.5</v>
      </c>
      <c r="H199" s="6" t="n"/>
      <c r="I199" s="6" t="n"/>
      <c r="J199" s="6" t="n"/>
      <c r="K199" s="6" t="n"/>
      <c r="L199" s="6" t="n"/>
      <c r="M199" s="7">
        <f>F199*Settings!$B$4+G199*Settings!$B$5+H199*Settings!$B$6+I199*Settings!$B$7+J199*Settings!$B$8+K199*Settings!$B$9+L199*Settings!$B$10</f>
        <v/>
      </c>
      <c r="N199" s="8">
        <f>M199-INDEX(Settings!$G$4:$G$9,MATCH($E199,Settings!$F$4:$F$9,0))</f>
        <v/>
      </c>
      <c r="O199" s="7">
        <f>N199*INDEX(Settings!$H$4:$H$9,MATCH($E199,Settings!$F$4:$F$9,0))</f>
        <v/>
      </c>
      <c r="P199" s="3" t="inlineStr">
        <is>
          <t>MEDIUM</t>
        </is>
      </c>
      <c r="Q199" s="5" t="inlineStr"/>
    </row>
    <row r="200">
      <c r="A200" s="3" t="n">
        <v>198</v>
      </c>
      <c r="B200" s="10" t="inlineStr">
        <is>
          <t>WR50</t>
        </is>
      </c>
      <c r="C200" s="5" t="inlineStr">
        <is>
          <t>Jalen McMillan</t>
        </is>
      </c>
      <c r="D200" s="3" t="inlineStr">
        <is>
          <t>TB</t>
        </is>
      </c>
      <c r="E200" s="10" t="inlineStr">
        <is>
          <t>WR</t>
        </is>
      </c>
      <c r="F200" s="6" t="n"/>
      <c r="G200" s="6" t="n">
        <v>0.2</v>
      </c>
      <c r="H200" s="6" t="n">
        <v>3.9</v>
      </c>
      <c r="I200" s="6" t="n"/>
      <c r="J200" s="6" t="n"/>
      <c r="K200" s="6" t="n"/>
      <c r="L200" s="6" t="n"/>
      <c r="M200" s="7">
        <f>F200*Settings!$B$4+G200*Settings!$B$5+H200*Settings!$B$6+I200*Settings!$B$7+J200*Settings!$B$8+K200*Settings!$B$9+L200*Settings!$B$10</f>
        <v/>
      </c>
      <c r="N200" s="8">
        <f>M200-INDEX(Settings!$G$4:$G$9,MATCH($E200,Settings!$F$4:$F$9,0))</f>
        <v/>
      </c>
      <c r="O200" s="7">
        <f>N200*INDEX(Settings!$H$4:$H$9,MATCH($E200,Settings!$F$4:$F$9,0))</f>
        <v/>
      </c>
      <c r="P200" s="3" t="inlineStr">
        <is>
          <t>LOW</t>
        </is>
      </c>
      <c r="Q200" s="5" t="inlineStr"/>
    </row>
    <row r="201">
      <c r="A201" s="3" t="n">
        <v>199</v>
      </c>
      <c r="B201" s="9" t="inlineStr">
        <is>
          <t>RB37</t>
        </is>
      </c>
      <c r="C201" s="5" t="inlineStr">
        <is>
          <t>Jordan Mason</t>
        </is>
      </c>
      <c r="D201" s="3" t="inlineStr">
        <is>
          <t>MIN</t>
        </is>
      </c>
      <c r="E201" s="9" t="inlineStr">
        <is>
          <t>RB</t>
        </is>
      </c>
      <c r="F201" s="6" t="n"/>
      <c r="G201" s="6" t="n">
        <v>5.7</v>
      </c>
      <c r="H201" s="6" t="n">
        <v>0.1</v>
      </c>
      <c r="I201" s="6" t="n"/>
      <c r="J201" s="6" t="n"/>
      <c r="K201" s="6" t="n"/>
      <c r="L201" s="6" t="n"/>
      <c r="M201" s="7">
        <f>F201*Settings!$B$4+G201*Settings!$B$5+H201*Settings!$B$6+I201*Settings!$B$7+J201*Settings!$B$8+K201*Settings!$B$9+L201*Settings!$B$10</f>
        <v/>
      </c>
      <c r="N201" s="8">
        <f>M201-INDEX(Settings!$G$4:$G$9,MATCH($E201,Settings!$F$4:$F$9,0))</f>
        <v/>
      </c>
      <c r="O201" s="7">
        <f>N201*INDEX(Settings!$H$4:$H$9,MATCH($E201,Settings!$F$4:$F$9,0))</f>
        <v/>
      </c>
      <c r="P201" s="3" t="inlineStr">
        <is>
          <t>HIGH</t>
        </is>
      </c>
      <c r="Q201" s="5" t="inlineStr">
        <is>
          <t>Goal-line yes; Vegas lower than consensus</t>
        </is>
      </c>
    </row>
    <row r="202">
      <c r="A202" s="3" t="n">
        <v>200</v>
      </c>
      <c r="B202" s="9" t="inlineStr">
        <is>
          <t>RB38</t>
        </is>
      </c>
      <c r="C202" s="5" t="inlineStr">
        <is>
          <t>RJ Harvey</t>
        </is>
      </c>
      <c r="D202" s="3" t="inlineStr">
        <is>
          <t>DEN</t>
        </is>
      </c>
      <c r="E202" s="9" t="inlineStr">
        <is>
          <t>RB</t>
        </is>
      </c>
      <c r="F202" s="6" t="n"/>
      <c r="G202" s="6" t="n">
        <v>3</v>
      </c>
      <c r="H202" s="6" t="n">
        <v>2.8</v>
      </c>
      <c r="I202" s="6" t="n"/>
      <c r="J202" s="6" t="n"/>
      <c r="K202" s="6" t="n"/>
      <c r="L202" s="6" t="n"/>
      <c r="M202" s="7">
        <f>F202*Settings!$B$4+G202*Settings!$B$5+H202*Settings!$B$6+I202*Settings!$B$7+J202*Settings!$B$8+K202*Settings!$B$9+L202*Settings!$B$10</f>
        <v/>
      </c>
      <c r="N202" s="8">
        <f>M202-INDEX(Settings!$G$4:$G$9,MATCH($E202,Settings!$F$4:$F$9,0))</f>
        <v/>
      </c>
      <c r="O202" s="7">
        <f>N202*INDEX(Settings!$H$4:$H$9,MATCH($E202,Settings!$F$4:$F$9,0))</f>
        <v/>
      </c>
      <c r="P202" s="3" t="inlineStr">
        <is>
          <t>HIGH</t>
        </is>
      </c>
      <c r="Q202" s="5" t="inlineStr"/>
    </row>
    <row r="203">
      <c r="A203" s="3" t="n">
        <v>201</v>
      </c>
      <c r="B203" s="9" t="inlineStr">
        <is>
          <t>RB39</t>
        </is>
      </c>
      <c r="C203" s="5" t="inlineStr">
        <is>
          <t>Kenny Gainwell</t>
        </is>
      </c>
      <c r="D203" s="3" t="inlineStr">
        <is>
          <t>TB</t>
        </is>
      </c>
      <c r="E203" s="9" t="inlineStr">
        <is>
          <t>RB</t>
        </is>
      </c>
      <c r="F203" s="6" t="n"/>
      <c r="G203" s="6" t="n">
        <v>3.8</v>
      </c>
      <c r="H203" s="6" t="n">
        <v>2</v>
      </c>
      <c r="I203" s="6" t="n"/>
      <c r="J203" s="6" t="n"/>
      <c r="K203" s="6" t="n"/>
      <c r="L203" s="6" t="n"/>
      <c r="M203" s="7">
        <f>F203*Settings!$B$4+G203*Settings!$B$5+H203*Settings!$B$6+I203*Settings!$B$7+J203*Settings!$B$8+K203*Settings!$B$9+L203*Settings!$B$10</f>
        <v/>
      </c>
      <c r="N203" s="8">
        <f>M203-INDEX(Settings!$G$4:$G$9,MATCH($E203,Settings!$F$4:$F$9,0))</f>
        <v/>
      </c>
      <c r="O203" s="7">
        <f>N203*INDEX(Settings!$H$4:$H$9,MATCH($E203,Settings!$F$4:$F$9,0))</f>
        <v/>
      </c>
      <c r="P203" s="3" t="inlineStr">
        <is>
          <t>HIGH</t>
        </is>
      </c>
      <c r="Q203" s="5" t="inlineStr"/>
    </row>
    <row r="204">
      <c r="A204" s="3" t="n">
        <v>202</v>
      </c>
      <c r="B204" s="10" t="inlineStr">
        <is>
          <t>WR51</t>
        </is>
      </c>
      <c r="C204" s="5" t="inlineStr">
        <is>
          <t>Rashod Bateman</t>
        </is>
      </c>
      <c r="D204" s="3" t="inlineStr">
        <is>
          <t>BAL</t>
        </is>
      </c>
      <c r="E204" s="10" t="inlineStr">
        <is>
          <t>WR</t>
        </is>
      </c>
      <c r="F204" s="6" t="n"/>
      <c r="G204" s="6" t="n"/>
      <c r="H204" s="6" t="n">
        <v>4</v>
      </c>
      <c r="I204" s="6" t="n"/>
      <c r="J204" s="6" t="n"/>
      <c r="K204" s="6" t="n"/>
      <c r="L204" s="6" t="n"/>
      <c r="M204" s="7">
        <f>F204*Settings!$B$4+G204*Settings!$B$5+H204*Settings!$B$6+I204*Settings!$B$7+J204*Settings!$B$8+K204*Settings!$B$9+L204*Settings!$B$10</f>
        <v/>
      </c>
      <c r="N204" s="8">
        <f>M204-INDEX(Settings!$G$4:$G$9,MATCH($E204,Settings!$F$4:$F$9,0))</f>
        <v/>
      </c>
      <c r="O204" s="7">
        <f>N204*INDEX(Settings!$H$4:$H$9,MATCH($E204,Settings!$F$4:$F$9,0))</f>
        <v/>
      </c>
      <c r="P204" s="3" t="inlineStr">
        <is>
          <t>LOW</t>
        </is>
      </c>
      <c r="Q204" s="5" t="inlineStr"/>
    </row>
    <row r="205">
      <c r="A205" s="3" t="n">
        <v>203</v>
      </c>
      <c r="B205" s="10" t="inlineStr">
        <is>
          <t>WR52</t>
        </is>
      </c>
      <c r="C205" s="5" t="inlineStr">
        <is>
          <t>Rashid Shaheed</t>
        </is>
      </c>
      <c r="D205" s="3" t="inlineStr">
        <is>
          <t>SEA</t>
        </is>
      </c>
      <c r="E205" s="10" t="inlineStr">
        <is>
          <t>WR</t>
        </is>
      </c>
      <c r="F205" s="6" t="n"/>
      <c r="G205" s="6" t="n">
        <v>0.5</v>
      </c>
      <c r="H205" s="6" t="n">
        <v>3.5</v>
      </c>
      <c r="I205" s="6" t="n"/>
      <c r="J205" s="6" t="n"/>
      <c r="K205" s="6" t="n"/>
      <c r="L205" s="6" t="n"/>
      <c r="M205" s="7">
        <f>F205*Settings!$B$4+G205*Settings!$B$5+H205*Settings!$B$6+I205*Settings!$B$7+J205*Settings!$B$8+K205*Settings!$B$9+L205*Settings!$B$10</f>
        <v/>
      </c>
      <c r="N205" s="8">
        <f>M205-INDEX(Settings!$G$4:$G$9,MATCH($E205,Settings!$F$4:$F$9,0))</f>
        <v/>
      </c>
      <c r="O205" s="7">
        <f>N205*INDEX(Settings!$H$4:$H$9,MATCH($E205,Settings!$F$4:$F$9,0))</f>
        <v/>
      </c>
      <c r="P205" s="3" t="inlineStr">
        <is>
          <t>LOW</t>
        </is>
      </c>
      <c r="Q205" s="5" t="inlineStr"/>
    </row>
    <row r="206">
      <c r="A206" s="3" t="n">
        <v>204</v>
      </c>
      <c r="B206" s="10" t="inlineStr">
        <is>
          <t>WR53</t>
        </is>
      </c>
      <c r="C206" s="5" t="inlineStr">
        <is>
          <t>Khalil Shakir</t>
        </is>
      </c>
      <c r="D206" s="3" t="inlineStr">
        <is>
          <t>BUF</t>
        </is>
      </c>
      <c r="E206" s="10" t="inlineStr">
        <is>
          <t>WR</t>
        </is>
      </c>
      <c r="F206" s="6" t="n"/>
      <c r="G206" s="6" t="n">
        <v>0.1</v>
      </c>
      <c r="H206" s="6" t="n">
        <v>3.9</v>
      </c>
      <c r="I206" s="6" t="n"/>
      <c r="J206" s="6" t="n"/>
      <c r="K206" s="6" t="n"/>
      <c r="L206" s="6" t="n"/>
      <c r="M206" s="7">
        <f>F206*Settings!$B$4+G206*Settings!$B$5+H206*Settings!$B$6+I206*Settings!$B$7+J206*Settings!$B$8+K206*Settings!$B$9+L206*Settings!$B$10</f>
        <v/>
      </c>
      <c r="N206" s="8">
        <f>M206-INDEX(Settings!$G$4:$G$9,MATCH($E206,Settings!$F$4:$F$9,0))</f>
        <v/>
      </c>
      <c r="O206" s="7">
        <f>N206*INDEX(Settings!$H$4:$H$9,MATCH($E206,Settings!$F$4:$F$9,0))</f>
        <v/>
      </c>
      <c r="P206" s="3" t="inlineStr">
        <is>
          <t>HIGH</t>
        </is>
      </c>
      <c r="Q206" s="5" t="inlineStr"/>
    </row>
    <row r="207">
      <c r="A207" s="3" t="n">
        <v>205</v>
      </c>
      <c r="B207" s="9" t="inlineStr">
        <is>
          <t>RB40</t>
        </is>
      </c>
      <c r="C207" s="5" t="inlineStr">
        <is>
          <t>Zach Charbonnet</t>
        </is>
      </c>
      <c r="D207" s="3" t="inlineStr">
        <is>
          <t>SEA</t>
        </is>
      </c>
      <c r="E207" s="9" t="inlineStr">
        <is>
          <t>RB</t>
        </is>
      </c>
      <c r="F207" s="6" t="n"/>
      <c r="G207" s="6" t="n">
        <v>5</v>
      </c>
      <c r="H207" s="6" t="n">
        <v>0.7</v>
      </c>
      <c r="I207" s="6" t="n"/>
      <c r="J207" s="6" t="n"/>
      <c r="K207" s="6" t="n"/>
      <c r="L207" s="6" t="n"/>
      <c r="M207" s="7">
        <f>F207*Settings!$B$4+G207*Settings!$B$5+H207*Settings!$B$6+I207*Settings!$B$7+J207*Settings!$B$8+K207*Settings!$B$9+L207*Settings!$B$10</f>
        <v/>
      </c>
      <c r="N207" s="8">
        <f>M207-INDEX(Settings!$G$4:$G$9,MATCH($E207,Settings!$F$4:$F$9,0))</f>
        <v/>
      </c>
      <c r="O207" s="7">
        <f>N207*INDEX(Settings!$H$4:$H$9,MATCH($E207,Settings!$F$4:$F$9,0))</f>
        <v/>
      </c>
      <c r="P207" s="3" t="inlineStr">
        <is>
          <t>MEDIUM</t>
        </is>
      </c>
      <c r="Q207" s="5" t="inlineStr">
        <is>
          <t>Torn ACL Feb surgery; on PUP; ESPN number too aggressive</t>
        </is>
      </c>
    </row>
    <row r="208">
      <c r="A208" s="3" t="n">
        <v>206</v>
      </c>
      <c r="B208" s="4" t="inlineStr">
        <is>
          <t>QB21</t>
        </is>
      </c>
      <c r="C208" s="5" t="inlineStr">
        <is>
          <t>Sam Darnold</t>
        </is>
      </c>
      <c r="D208" s="3" t="inlineStr">
        <is>
          <t>SEA</t>
        </is>
      </c>
      <c r="E208" s="4" t="inlineStr">
        <is>
          <t>QB</t>
        </is>
      </c>
      <c r="F208" s="6" t="n">
        <v>26</v>
      </c>
      <c r="G208" s="6" t="n">
        <v>1</v>
      </c>
      <c r="H208" s="6" t="n"/>
      <c r="I208" s="6" t="n"/>
      <c r="J208" s="6" t="n"/>
      <c r="K208" s="6" t="n"/>
      <c r="L208" s="6" t="n"/>
      <c r="M208" s="7">
        <f>F208*Settings!$B$4+G208*Settings!$B$5+H208*Settings!$B$6+I208*Settings!$B$7+J208*Settings!$B$8+K208*Settings!$B$9+L208*Settings!$B$10</f>
        <v/>
      </c>
      <c r="N208" s="8">
        <f>M208-INDEX(Settings!$G$4:$G$9,MATCH($E208,Settings!$F$4:$F$9,0))</f>
        <v/>
      </c>
      <c r="O208" s="7">
        <f>N208*INDEX(Settings!$H$4:$H$9,MATCH($E208,Settings!$F$4:$F$9,0))</f>
        <v/>
      </c>
      <c r="P208" s="3" t="inlineStr">
        <is>
          <t>HIGH</t>
        </is>
      </c>
      <c r="Q208" s="5" t="inlineStr"/>
    </row>
    <row r="209">
      <c r="A209" s="3" t="n">
        <v>207</v>
      </c>
      <c r="B209" s="11" t="inlineStr">
        <is>
          <t>K29</t>
        </is>
      </c>
      <c r="C209" s="5" t="inlineStr">
        <is>
          <t>Chris Boswell</t>
        </is>
      </c>
      <c r="D209" s="3" t="inlineStr">
        <is>
          <t>PIT</t>
        </is>
      </c>
      <c r="E209" s="11" t="inlineStr">
        <is>
          <t>K</t>
        </is>
      </c>
      <c r="F209" s="6" t="n"/>
      <c r="G209" s="6" t="n"/>
      <c r="H209" s="6" t="n"/>
      <c r="I209" s="6" t="n">
        <v>25</v>
      </c>
      <c r="J209" s="6" t="n">
        <v>36</v>
      </c>
      <c r="K209" s="6" t="n"/>
      <c r="L209" s="6" t="n"/>
      <c r="M209" s="7">
        <f>F209*Settings!$B$4+G209*Settings!$B$5+H209*Settings!$B$6+I209*Settings!$B$7+J209*Settings!$B$8+K209*Settings!$B$9+L209*Settings!$B$10</f>
        <v/>
      </c>
      <c r="N209" s="8">
        <f>M209-INDEX(Settings!$G$4:$G$9,MATCH($E209,Settings!$F$4:$F$9,0))</f>
        <v/>
      </c>
      <c r="O209" s="7">
        <f>N209*INDEX(Settings!$H$4:$H$9,MATCH($E209,Settings!$F$4:$F$9,0))</f>
        <v/>
      </c>
      <c r="P209" s="3" t="inlineStr">
        <is>
          <t>MEDIUM</t>
        </is>
      </c>
      <c r="Q209" s="5" t="inlineStr"/>
    </row>
    <row r="210">
      <c r="A210" s="3" t="n">
        <v>208</v>
      </c>
      <c r="B210" s="10" t="inlineStr">
        <is>
          <t>WR54</t>
        </is>
      </c>
      <c r="C210" s="5" t="inlineStr">
        <is>
          <t>Michael Wilson</t>
        </is>
      </c>
      <c r="D210" s="3" t="inlineStr">
        <is>
          <t>ARI</t>
        </is>
      </c>
      <c r="E210" s="10" t="inlineStr">
        <is>
          <t>WR</t>
        </is>
      </c>
      <c r="F210" s="6" t="n"/>
      <c r="G210" s="6" t="n"/>
      <c r="H210" s="6" t="n">
        <v>3.7</v>
      </c>
      <c r="I210" s="6" t="n"/>
      <c r="J210" s="6" t="n"/>
      <c r="K210" s="6" t="n"/>
      <c r="L210" s="6" t="n"/>
      <c r="M210" s="7">
        <f>F210*Settings!$B$4+G210*Settings!$B$5+H210*Settings!$B$6+I210*Settings!$B$7+J210*Settings!$B$8+K210*Settings!$B$9+L210*Settings!$B$10</f>
        <v/>
      </c>
      <c r="N210" s="8">
        <f>M210-INDEX(Settings!$G$4:$G$9,MATCH($E210,Settings!$F$4:$F$9,0))</f>
        <v/>
      </c>
      <c r="O210" s="7">
        <f>N210*INDEX(Settings!$H$4:$H$9,MATCH($E210,Settings!$F$4:$F$9,0))</f>
        <v/>
      </c>
      <c r="P210" s="3" t="inlineStr">
        <is>
          <t>HIGH</t>
        </is>
      </c>
      <c r="Q210" s="5" t="inlineStr"/>
    </row>
    <row r="211">
      <c r="A211" s="3" t="n">
        <v>209</v>
      </c>
      <c r="B211" s="10" t="inlineStr">
        <is>
          <t>WR55</t>
        </is>
      </c>
      <c r="C211" s="5" t="inlineStr">
        <is>
          <t>Adonai Mitchell</t>
        </is>
      </c>
      <c r="D211" s="3" t="inlineStr">
        <is>
          <t>NYJ</t>
        </is>
      </c>
      <c r="E211" s="10" t="inlineStr">
        <is>
          <t>WR</t>
        </is>
      </c>
      <c r="F211" s="6" t="n"/>
      <c r="G211" s="6" t="n">
        <v>0.1</v>
      </c>
      <c r="H211" s="6" t="n">
        <v>3.6</v>
      </c>
      <c r="I211" s="6" t="n"/>
      <c r="J211" s="6" t="n"/>
      <c r="K211" s="6" t="n"/>
      <c r="L211" s="6" t="n"/>
      <c r="M211" s="7">
        <f>F211*Settings!$B$4+G211*Settings!$B$5+H211*Settings!$B$6+I211*Settings!$B$7+J211*Settings!$B$8+K211*Settings!$B$9+L211*Settings!$B$10</f>
        <v/>
      </c>
      <c r="N211" s="8">
        <f>M211-INDEX(Settings!$G$4:$G$9,MATCH($E211,Settings!$F$4:$F$9,0))</f>
        <v/>
      </c>
      <c r="O211" s="7">
        <f>N211*INDEX(Settings!$H$4:$H$9,MATCH($E211,Settings!$F$4:$F$9,0))</f>
        <v/>
      </c>
      <c r="P211" s="3" t="inlineStr">
        <is>
          <t>LOW</t>
        </is>
      </c>
      <c r="Q211" s="5" t="inlineStr"/>
    </row>
    <row r="212">
      <c r="A212" s="3" t="n">
        <v>210</v>
      </c>
      <c r="B212" s="10" t="inlineStr">
        <is>
          <t>WR56</t>
        </is>
      </c>
      <c r="C212" s="5" t="inlineStr">
        <is>
          <t>Calvin Ridley</t>
        </is>
      </c>
      <c r="D212" s="3" t="inlineStr">
        <is>
          <t>TEN</t>
        </is>
      </c>
      <c r="E212" s="10" t="inlineStr">
        <is>
          <t>WR</t>
        </is>
      </c>
      <c r="F212" s="6" t="n"/>
      <c r="G212" s="6" t="n">
        <v>0.2</v>
      </c>
      <c r="H212" s="6" t="n">
        <v>3.4</v>
      </c>
      <c r="I212" s="6" t="n"/>
      <c r="J212" s="6" t="n"/>
      <c r="K212" s="6" t="n"/>
      <c r="L212" s="6" t="n"/>
      <c r="M212" s="7">
        <f>F212*Settings!$B$4+G212*Settings!$B$5+H212*Settings!$B$6+I212*Settings!$B$7+J212*Settings!$B$8+K212*Settings!$B$9+L212*Settings!$B$10</f>
        <v/>
      </c>
      <c r="N212" s="8">
        <f>M212-INDEX(Settings!$G$4:$G$9,MATCH($E212,Settings!$F$4:$F$9,0))</f>
        <v/>
      </c>
      <c r="O212" s="7">
        <f>N212*INDEX(Settings!$H$4:$H$9,MATCH($E212,Settings!$F$4:$F$9,0))</f>
        <v/>
      </c>
      <c r="P212" s="3" t="inlineStr">
        <is>
          <t>LOW</t>
        </is>
      </c>
      <c r="Q212" s="5" t="inlineStr"/>
    </row>
    <row r="213">
      <c r="A213" s="3" t="n">
        <v>211</v>
      </c>
      <c r="B213" s="4" t="inlineStr">
        <is>
          <t>QB22</t>
        </is>
      </c>
      <c r="C213" s="5" t="inlineStr">
        <is>
          <t>Kyler Murray</t>
        </is>
      </c>
      <c r="D213" s="3" t="inlineStr">
        <is>
          <t>MIN</t>
        </is>
      </c>
      <c r="E213" s="4" t="inlineStr">
        <is>
          <t>QB</t>
        </is>
      </c>
      <c r="F213" s="6" t="n">
        <v>21.5</v>
      </c>
      <c r="G213" s="6" t="n">
        <v>3</v>
      </c>
      <c r="H213" s="6" t="n"/>
      <c r="I213" s="6" t="n"/>
      <c r="J213" s="6" t="n"/>
      <c r="K213" s="6" t="n"/>
      <c r="L213" s="6" t="n"/>
      <c r="M213" s="7">
        <f>F213*Settings!$B$4+G213*Settings!$B$5+H213*Settings!$B$6+I213*Settings!$B$7+J213*Settings!$B$8+K213*Settings!$B$9+L213*Settings!$B$10</f>
        <v/>
      </c>
      <c r="N213" s="8">
        <f>M213-INDEX(Settings!$G$4:$G$9,MATCH($E213,Settings!$F$4:$F$9,0))</f>
        <v/>
      </c>
      <c r="O213" s="7">
        <f>N213*INDEX(Settings!$H$4:$H$9,MATCH($E213,Settings!$F$4:$F$9,0))</f>
        <v/>
      </c>
      <c r="P213" s="3" t="inlineStr">
        <is>
          <t>MEDIUM</t>
        </is>
      </c>
      <c r="Q213" s="5" t="inlineStr">
        <is>
          <t>Named Week 1 starter over McCarthy</t>
        </is>
      </c>
    </row>
    <row r="214">
      <c r="A214" s="3" t="n">
        <v>212</v>
      </c>
      <c r="B214" s="10" t="inlineStr">
        <is>
          <t>WR57</t>
        </is>
      </c>
      <c r="C214" s="5" t="inlineStr">
        <is>
          <t>Ja'Kobi Lane</t>
        </is>
      </c>
      <c r="D214" s="3" t="inlineStr">
        <is>
          <t>BAL</t>
        </is>
      </c>
      <c r="E214" s="10" t="inlineStr">
        <is>
          <t>WR</t>
        </is>
      </c>
      <c r="F214" s="6" t="n"/>
      <c r="G214" s="6" t="n"/>
      <c r="H214" s="6" t="n">
        <v>3.5</v>
      </c>
      <c r="I214" s="6" t="n"/>
      <c r="J214" s="6" t="n"/>
      <c r="K214" s="6" t="n"/>
      <c r="L214" s="6" t="n"/>
      <c r="M214" s="7">
        <f>F214*Settings!$B$4+G214*Settings!$B$5+H214*Settings!$B$6+I214*Settings!$B$7+J214*Settings!$B$8+K214*Settings!$B$9+L214*Settings!$B$10</f>
        <v/>
      </c>
      <c r="N214" s="8">
        <f>M214-INDEX(Settings!$G$4:$G$9,MATCH($E214,Settings!$F$4:$F$9,0))</f>
        <v/>
      </c>
      <c r="O214" s="7">
        <f>N214*INDEX(Settings!$H$4:$H$9,MATCH($E214,Settings!$F$4:$F$9,0))</f>
        <v/>
      </c>
      <c r="P214" s="3" t="inlineStr">
        <is>
          <t>LOW</t>
        </is>
      </c>
      <c r="Q214" s="5" t="inlineStr"/>
    </row>
    <row r="215">
      <c r="A215" s="3" t="n">
        <v>213</v>
      </c>
      <c r="B215" s="10" t="inlineStr">
        <is>
          <t>WR58</t>
        </is>
      </c>
      <c r="C215" s="5" t="inlineStr">
        <is>
          <t>Josh Downs</t>
        </is>
      </c>
      <c r="D215" s="3" t="inlineStr">
        <is>
          <t>IND</t>
        </is>
      </c>
      <c r="E215" s="10" t="inlineStr">
        <is>
          <t>WR</t>
        </is>
      </c>
      <c r="F215" s="6" t="n"/>
      <c r="G215" s="6" t="n">
        <v>0.1</v>
      </c>
      <c r="H215" s="6" t="n">
        <v>3.4</v>
      </c>
      <c r="I215" s="6" t="n"/>
      <c r="J215" s="6" t="n"/>
      <c r="K215" s="6" t="n"/>
      <c r="L215" s="6" t="n"/>
      <c r="M215" s="7">
        <f>F215*Settings!$B$4+G215*Settings!$B$5+H215*Settings!$B$6+I215*Settings!$B$7+J215*Settings!$B$8+K215*Settings!$B$9+L215*Settings!$B$10</f>
        <v/>
      </c>
      <c r="N215" s="8">
        <f>M215-INDEX(Settings!$G$4:$G$9,MATCH($E215,Settings!$F$4:$F$9,0))</f>
        <v/>
      </c>
      <c r="O215" s="7">
        <f>N215*INDEX(Settings!$H$4:$H$9,MATCH($E215,Settings!$F$4:$F$9,0))</f>
        <v/>
      </c>
      <c r="P215" s="3" t="inlineStr">
        <is>
          <t>HIGH</t>
        </is>
      </c>
      <c r="Q215" s="5" t="inlineStr"/>
    </row>
    <row r="216">
      <c r="A216" s="3" t="n">
        <v>214</v>
      </c>
      <c r="B216" s="9" t="inlineStr">
        <is>
          <t>RB41</t>
        </is>
      </c>
      <c r="C216" s="5" t="inlineStr">
        <is>
          <t>Jonathon Brooks</t>
        </is>
      </c>
      <c r="D216" s="3" t="inlineStr">
        <is>
          <t>CAR</t>
        </is>
      </c>
      <c r="E216" s="9" t="inlineStr">
        <is>
          <t>RB</t>
        </is>
      </c>
      <c r="F216" s="6" t="n"/>
      <c r="G216" s="6" t="n">
        <v>4.2</v>
      </c>
      <c r="H216" s="6" t="n">
        <v>1.1</v>
      </c>
      <c r="I216" s="6" t="n"/>
      <c r="J216" s="6" t="n"/>
      <c r="K216" s="6" t="n"/>
      <c r="L216" s="6" t="n"/>
      <c r="M216" s="7">
        <f>F216*Settings!$B$4+G216*Settings!$B$5+H216*Settings!$B$6+I216*Settings!$B$7+J216*Settings!$B$8+K216*Settings!$B$9+L216*Settings!$B$10</f>
        <v/>
      </c>
      <c r="N216" s="8">
        <f>M216-INDEX(Settings!$G$4:$G$9,MATCH($E216,Settings!$F$4:$F$9,0))</f>
        <v/>
      </c>
      <c r="O216" s="7">
        <f>N216*INDEX(Settings!$H$4:$H$9,MATCH($E216,Settings!$F$4:$F$9,0))</f>
        <v/>
      </c>
      <c r="P216" s="3" t="inlineStr">
        <is>
          <t>HIGH</t>
        </is>
      </c>
      <c r="Q216" s="5" t="inlineStr">
        <is>
          <t>Repeat ACL history</t>
        </is>
      </c>
    </row>
    <row r="217">
      <c r="A217" s="3" t="n">
        <v>215</v>
      </c>
      <c r="B217" s="10" t="inlineStr">
        <is>
          <t>WR59</t>
        </is>
      </c>
      <c r="C217" s="5" t="inlineStr">
        <is>
          <t>Devaughn Vele</t>
        </is>
      </c>
      <c r="D217" s="3" t="inlineStr">
        <is>
          <t>NO</t>
        </is>
      </c>
      <c r="E217" s="10" t="inlineStr">
        <is>
          <t>WR</t>
        </is>
      </c>
      <c r="F217" s="6" t="n"/>
      <c r="G217" s="6" t="n"/>
      <c r="H217" s="6" t="n">
        <v>3.4</v>
      </c>
      <c r="I217" s="6" t="n"/>
      <c r="J217" s="6" t="n"/>
      <c r="K217" s="6" t="n"/>
      <c r="L217" s="6" t="n"/>
      <c r="M217" s="7">
        <f>F217*Settings!$B$4+G217*Settings!$B$5+H217*Settings!$B$6+I217*Settings!$B$7+J217*Settings!$B$8+K217*Settings!$B$9+L217*Settings!$B$10</f>
        <v/>
      </c>
      <c r="N217" s="8">
        <f>M217-INDEX(Settings!$G$4:$G$9,MATCH($E217,Settings!$F$4:$F$9,0))</f>
        <v/>
      </c>
      <c r="O217" s="7">
        <f>N217*INDEX(Settings!$H$4:$H$9,MATCH($E217,Settings!$F$4:$F$9,0))</f>
        <v/>
      </c>
      <c r="P217" s="3" t="inlineStr">
        <is>
          <t>LOW</t>
        </is>
      </c>
      <c r="Q217" s="5" t="inlineStr"/>
    </row>
    <row r="218">
      <c r="A218" s="3" t="n">
        <v>216</v>
      </c>
      <c r="B218" s="10" t="inlineStr">
        <is>
          <t>WR60</t>
        </is>
      </c>
      <c r="C218" s="5" t="inlineStr">
        <is>
          <t>Travis Hunter</t>
        </is>
      </c>
      <c r="D218" s="3" t="inlineStr">
        <is>
          <t>JAX</t>
        </is>
      </c>
      <c r="E218" s="10" t="inlineStr">
        <is>
          <t>WR</t>
        </is>
      </c>
      <c r="F218" s="6" t="n"/>
      <c r="G218" s="6" t="n">
        <v>0.1</v>
      </c>
      <c r="H218" s="6" t="n">
        <v>3.3</v>
      </c>
      <c r="I218" s="6" t="n"/>
      <c r="J218" s="6" t="n"/>
      <c r="K218" s="6" t="n"/>
      <c r="L218" s="6" t="n"/>
      <c r="M218" s="7">
        <f>F218*Settings!$B$4+G218*Settings!$B$5+H218*Settings!$B$6+I218*Settings!$B$7+J218*Settings!$B$8+K218*Settings!$B$9+L218*Settings!$B$10</f>
        <v/>
      </c>
      <c r="N218" s="8">
        <f>M218-INDEX(Settings!$G$4:$G$9,MATCH($E218,Settings!$F$4:$F$9,0))</f>
        <v/>
      </c>
      <c r="O218" s="7">
        <f>N218*INDEX(Settings!$H$4:$H$9,MATCH($E218,Settings!$F$4:$F$9,0))</f>
        <v/>
      </c>
      <c r="P218" s="3" t="inlineStr">
        <is>
          <t>LOW</t>
        </is>
      </c>
      <c r="Q218" s="5" t="inlineStr"/>
    </row>
    <row r="219">
      <c r="A219" s="3" t="n">
        <v>217</v>
      </c>
      <c r="B219" s="10" t="inlineStr">
        <is>
          <t>WR61</t>
        </is>
      </c>
      <c r="C219" s="5" t="inlineStr">
        <is>
          <t>KC Concepcion</t>
        </is>
      </c>
      <c r="D219" s="3" t="inlineStr">
        <is>
          <t>CLE</t>
        </is>
      </c>
      <c r="E219" s="10" t="inlineStr">
        <is>
          <t>WR</t>
        </is>
      </c>
      <c r="F219" s="6" t="n"/>
      <c r="G219" s="6" t="n">
        <v>0.2</v>
      </c>
      <c r="H219" s="6" t="n">
        <v>3.1</v>
      </c>
      <c r="I219" s="6" t="n"/>
      <c r="J219" s="6" t="n"/>
      <c r="K219" s="6" t="n"/>
      <c r="L219" s="6" t="n"/>
      <c r="M219" s="7">
        <f>F219*Settings!$B$4+G219*Settings!$B$5+H219*Settings!$B$6+I219*Settings!$B$7+J219*Settings!$B$8+K219*Settings!$B$9+L219*Settings!$B$10</f>
        <v/>
      </c>
      <c r="N219" s="8">
        <f>M219-INDEX(Settings!$G$4:$G$9,MATCH($E219,Settings!$F$4:$F$9,0))</f>
        <v/>
      </c>
      <c r="O219" s="7">
        <f>N219*INDEX(Settings!$H$4:$H$9,MATCH($E219,Settings!$F$4:$F$9,0))</f>
        <v/>
      </c>
      <c r="P219" s="3" t="inlineStr">
        <is>
          <t>LOW</t>
        </is>
      </c>
      <c r="Q219" s="5" t="inlineStr"/>
    </row>
    <row r="220">
      <c r="A220" s="3" t="n">
        <v>218</v>
      </c>
      <c r="B220" s="10" t="inlineStr">
        <is>
          <t>WR62</t>
        </is>
      </c>
      <c r="C220" s="5" t="inlineStr">
        <is>
          <t>Jauan Jennings</t>
        </is>
      </c>
      <c r="D220" s="3" t="inlineStr">
        <is>
          <t>MIN</t>
        </is>
      </c>
      <c r="E220" s="10" t="inlineStr">
        <is>
          <t>WR</t>
        </is>
      </c>
      <c r="F220" s="6" t="n"/>
      <c r="G220" s="6" t="n"/>
      <c r="H220" s="6" t="n">
        <v>3.3</v>
      </c>
      <c r="I220" s="6" t="n"/>
      <c r="J220" s="6" t="n"/>
      <c r="K220" s="6" t="n"/>
      <c r="L220" s="6" t="n"/>
      <c r="M220" s="7">
        <f>F220*Settings!$B$4+G220*Settings!$B$5+H220*Settings!$B$6+I220*Settings!$B$7+J220*Settings!$B$8+K220*Settings!$B$9+L220*Settings!$B$10</f>
        <v/>
      </c>
      <c r="N220" s="8">
        <f>M220-INDEX(Settings!$G$4:$G$9,MATCH($E220,Settings!$F$4:$F$9,0))</f>
        <v/>
      </c>
      <c r="O220" s="7">
        <f>N220*INDEX(Settings!$H$4:$H$9,MATCH($E220,Settings!$F$4:$F$9,0))</f>
        <v/>
      </c>
      <c r="P220" s="3" t="inlineStr">
        <is>
          <t>LOW</t>
        </is>
      </c>
      <c r="Q220" s="5" t="inlineStr"/>
    </row>
    <row r="221">
      <c r="A221" s="3" t="n">
        <v>219</v>
      </c>
      <c r="B221" s="11" t="inlineStr">
        <is>
          <t>K30</t>
        </is>
      </c>
      <c r="C221" s="5" t="inlineStr">
        <is>
          <t>Ryan Fitzgerald</t>
        </is>
      </c>
      <c r="D221" s="3" t="inlineStr">
        <is>
          <t>CAR</t>
        </is>
      </c>
      <c r="E221" s="11" t="inlineStr">
        <is>
          <t>K</t>
        </is>
      </c>
      <c r="F221" s="6" t="n"/>
      <c r="G221" s="6" t="n"/>
      <c r="H221" s="6" t="n"/>
      <c r="I221" s="6" t="n">
        <v>24</v>
      </c>
      <c r="J221" s="6" t="n">
        <v>34</v>
      </c>
      <c r="K221" s="6" t="n"/>
      <c r="L221" s="6" t="n"/>
      <c r="M221" s="7">
        <f>F221*Settings!$B$4+G221*Settings!$B$5+H221*Settings!$B$6+I221*Settings!$B$7+J221*Settings!$B$8+K221*Settings!$B$9+L221*Settings!$B$10</f>
        <v/>
      </c>
      <c r="N221" s="8">
        <f>M221-INDEX(Settings!$G$4:$G$9,MATCH($E221,Settings!$F$4:$F$9,0))</f>
        <v/>
      </c>
      <c r="O221" s="7">
        <f>N221*INDEX(Settings!$H$4:$H$9,MATCH($E221,Settings!$F$4:$F$9,0))</f>
        <v/>
      </c>
      <c r="P221" s="3" t="inlineStr">
        <is>
          <t>LOW</t>
        </is>
      </c>
      <c r="Q221" s="5" t="inlineStr"/>
    </row>
    <row r="222">
      <c r="A222" s="3" t="n">
        <v>220</v>
      </c>
      <c r="B222" s="10" t="inlineStr">
        <is>
          <t>WR63</t>
        </is>
      </c>
      <c r="C222" s="5" t="inlineStr">
        <is>
          <t>Isaac TeSlaa</t>
        </is>
      </c>
      <c r="D222" s="3" t="inlineStr">
        <is>
          <t>DET</t>
        </is>
      </c>
      <c r="E222" s="10" t="inlineStr">
        <is>
          <t>WR</t>
        </is>
      </c>
      <c r="F222" s="6" t="n"/>
      <c r="G222" s="6" t="n"/>
      <c r="H222" s="6" t="n">
        <v>3.2</v>
      </c>
      <c r="I222" s="6" t="n"/>
      <c r="J222" s="6" t="n"/>
      <c r="K222" s="6" t="n"/>
      <c r="L222" s="6" t="n"/>
      <c r="M222" s="7">
        <f>F222*Settings!$B$4+G222*Settings!$B$5+H222*Settings!$B$6+I222*Settings!$B$7+J222*Settings!$B$8+K222*Settings!$B$9+L222*Settings!$B$10</f>
        <v/>
      </c>
      <c r="N222" s="8">
        <f>M222-INDEX(Settings!$G$4:$G$9,MATCH($E222,Settings!$F$4:$F$9,0))</f>
        <v/>
      </c>
      <c r="O222" s="7">
        <f>N222*INDEX(Settings!$H$4:$H$9,MATCH($E222,Settings!$F$4:$F$9,0))</f>
        <v/>
      </c>
      <c r="P222" s="3" t="inlineStr">
        <is>
          <t>LOW</t>
        </is>
      </c>
      <c r="Q222" s="5" t="inlineStr"/>
    </row>
    <row r="223">
      <c r="A223" s="3" t="n">
        <v>221</v>
      </c>
      <c r="B223" s="10" t="inlineStr">
        <is>
          <t>WR64</t>
        </is>
      </c>
      <c r="C223" s="5" t="inlineStr">
        <is>
          <t>Jalen Nailor</t>
        </is>
      </c>
      <c r="D223" s="3" t="inlineStr">
        <is>
          <t>LV</t>
        </is>
      </c>
      <c r="E223" s="10" t="inlineStr">
        <is>
          <t>WR</t>
        </is>
      </c>
      <c r="F223" s="6" t="n"/>
      <c r="G223" s="6" t="n">
        <v>0.1</v>
      </c>
      <c r="H223" s="6" t="n">
        <v>3</v>
      </c>
      <c r="I223" s="6" t="n"/>
      <c r="J223" s="6" t="n"/>
      <c r="K223" s="6" t="n"/>
      <c r="L223" s="6" t="n"/>
      <c r="M223" s="7">
        <f>F223*Settings!$B$4+G223*Settings!$B$5+H223*Settings!$B$6+I223*Settings!$B$7+J223*Settings!$B$8+K223*Settings!$B$9+L223*Settings!$B$10</f>
        <v/>
      </c>
      <c r="N223" s="8">
        <f>M223-INDEX(Settings!$G$4:$G$9,MATCH($E223,Settings!$F$4:$F$9,0))</f>
        <v/>
      </c>
      <c r="O223" s="7">
        <f>N223*INDEX(Settings!$H$4:$H$9,MATCH($E223,Settings!$F$4:$F$9,0))</f>
        <v/>
      </c>
      <c r="P223" s="3" t="inlineStr">
        <is>
          <t>LOW</t>
        </is>
      </c>
      <c r="Q223" s="5" t="inlineStr"/>
    </row>
    <row r="224">
      <c r="A224" s="3" t="n">
        <v>222</v>
      </c>
      <c r="B224" s="10" t="inlineStr">
        <is>
          <t>WR65</t>
        </is>
      </c>
      <c r="C224" s="5" t="inlineStr">
        <is>
          <t>Tyquan Thornton</t>
        </is>
      </c>
      <c r="D224" s="3" t="inlineStr">
        <is>
          <t>KC</t>
        </is>
      </c>
      <c r="E224" s="10" t="inlineStr">
        <is>
          <t>WR</t>
        </is>
      </c>
      <c r="F224" s="6" t="n"/>
      <c r="G224" s="6" t="n"/>
      <c r="H224" s="6" t="n">
        <v>3</v>
      </c>
      <c r="I224" s="6" t="n"/>
      <c r="J224" s="6" t="n"/>
      <c r="K224" s="6" t="n"/>
      <c r="L224" s="6" t="n"/>
      <c r="M224" s="7">
        <f>F224*Settings!$B$4+G224*Settings!$B$5+H224*Settings!$B$6+I224*Settings!$B$7+J224*Settings!$B$8+K224*Settings!$B$9+L224*Settings!$B$10</f>
        <v/>
      </c>
      <c r="N224" s="8">
        <f>M224-INDEX(Settings!$G$4:$G$9,MATCH($E224,Settings!$F$4:$F$9,0))</f>
        <v/>
      </c>
      <c r="O224" s="7">
        <f>N224*INDEX(Settings!$H$4:$H$9,MATCH($E224,Settings!$F$4:$F$9,0))</f>
        <v/>
      </c>
      <c r="P224" s="3" t="inlineStr">
        <is>
          <t>LOW</t>
        </is>
      </c>
      <c r="Q224" s="5" t="inlineStr"/>
    </row>
    <row r="225">
      <c r="A225" s="3" t="n">
        <v>223</v>
      </c>
      <c r="B225" s="10" t="inlineStr">
        <is>
          <t>WR66</t>
        </is>
      </c>
      <c r="C225" s="5" t="inlineStr">
        <is>
          <t>Jalen Coker</t>
        </is>
      </c>
      <c r="D225" s="3" t="inlineStr">
        <is>
          <t>CAR</t>
        </is>
      </c>
      <c r="E225" s="10" t="inlineStr">
        <is>
          <t>WR</t>
        </is>
      </c>
      <c r="F225" s="6" t="n"/>
      <c r="G225" s="6" t="n"/>
      <c r="H225" s="6" t="n">
        <v>3</v>
      </c>
      <c r="I225" s="6" t="n"/>
      <c r="J225" s="6" t="n"/>
      <c r="K225" s="6" t="n"/>
      <c r="L225" s="6" t="n"/>
      <c r="M225" s="7">
        <f>F225*Settings!$B$4+G225*Settings!$B$5+H225*Settings!$B$6+I225*Settings!$B$7+J225*Settings!$B$8+K225*Settings!$B$9+L225*Settings!$B$10</f>
        <v/>
      </c>
      <c r="N225" s="8">
        <f>M225-INDEX(Settings!$G$4:$G$9,MATCH($E225,Settings!$F$4:$F$9,0))</f>
        <v/>
      </c>
      <c r="O225" s="7">
        <f>N225*INDEX(Settings!$H$4:$H$9,MATCH($E225,Settings!$F$4:$F$9,0))</f>
        <v/>
      </c>
      <c r="P225" s="3" t="inlineStr">
        <is>
          <t>LOW</t>
        </is>
      </c>
      <c r="Q225" s="5" t="inlineStr"/>
    </row>
    <row r="226">
      <c r="A226" s="3" t="n">
        <v>224</v>
      </c>
      <c r="B226" s="10" t="inlineStr">
        <is>
          <t>WR67</t>
        </is>
      </c>
      <c r="C226" s="5" t="inlineStr">
        <is>
          <t>Denzel Boston</t>
        </is>
      </c>
      <c r="D226" s="3" t="inlineStr">
        <is>
          <t>CLE</t>
        </is>
      </c>
      <c r="E226" s="10" t="inlineStr">
        <is>
          <t>WR</t>
        </is>
      </c>
      <c r="F226" s="6" t="n"/>
      <c r="G226" s="6" t="n"/>
      <c r="H226" s="6" t="n">
        <v>3</v>
      </c>
      <c r="I226" s="6" t="n"/>
      <c r="J226" s="6" t="n"/>
      <c r="K226" s="6" t="n"/>
      <c r="L226" s="6" t="n"/>
      <c r="M226" s="7">
        <f>F226*Settings!$B$4+G226*Settings!$B$5+H226*Settings!$B$6+I226*Settings!$B$7+J226*Settings!$B$8+K226*Settings!$B$9+L226*Settings!$B$10</f>
        <v/>
      </c>
      <c r="N226" s="8">
        <f>M226-INDEX(Settings!$G$4:$G$9,MATCH($E226,Settings!$F$4:$F$9,0))</f>
        <v/>
      </c>
      <c r="O226" s="7">
        <f>N226*INDEX(Settings!$H$4:$H$9,MATCH($E226,Settings!$F$4:$F$9,0))</f>
        <v/>
      </c>
      <c r="P226" s="3" t="inlineStr">
        <is>
          <t>LOW</t>
        </is>
      </c>
      <c r="Q226" s="5" t="inlineStr"/>
    </row>
    <row r="227">
      <c r="A227" s="3" t="n">
        <v>225</v>
      </c>
      <c r="B227" s="4" t="inlineStr">
        <is>
          <t>QB23</t>
        </is>
      </c>
      <c r="C227" s="5" t="inlineStr">
        <is>
          <t>Bryce Young</t>
        </is>
      </c>
      <c r="D227" s="3" t="inlineStr">
        <is>
          <t>CAR</t>
        </is>
      </c>
      <c r="E227" s="4" t="inlineStr">
        <is>
          <t>QB</t>
        </is>
      </c>
      <c r="F227" s="6" t="n">
        <v>21.5</v>
      </c>
      <c r="G227" s="6" t="n">
        <v>2.5</v>
      </c>
      <c r="H227" s="6" t="n"/>
      <c r="I227" s="6" t="n"/>
      <c r="J227" s="6" t="n"/>
      <c r="K227" s="6" t="n"/>
      <c r="L227" s="6" t="n"/>
      <c r="M227" s="7">
        <f>F227*Settings!$B$4+G227*Settings!$B$5+H227*Settings!$B$6+I227*Settings!$B$7+J227*Settings!$B$8+K227*Settings!$B$9+L227*Settings!$B$10</f>
        <v/>
      </c>
      <c r="N227" s="8">
        <f>M227-INDEX(Settings!$G$4:$G$9,MATCH($E227,Settings!$F$4:$F$9,0))</f>
        <v/>
      </c>
      <c r="O227" s="7">
        <f>N227*INDEX(Settings!$H$4:$H$9,MATCH($E227,Settings!$F$4:$F$9,0))</f>
        <v/>
      </c>
      <c r="P227" s="3" t="inlineStr">
        <is>
          <t>MEDIUM</t>
        </is>
      </c>
      <c r="Q227" s="5" t="inlineStr"/>
    </row>
    <row r="228">
      <c r="A228" s="3" t="n">
        <v>226</v>
      </c>
      <c r="B228" s="10" t="inlineStr">
        <is>
          <t>WR68</t>
        </is>
      </c>
      <c r="C228" s="5" t="inlineStr">
        <is>
          <t>Dontayvion Wicks</t>
        </is>
      </c>
      <c r="D228" s="3" t="inlineStr">
        <is>
          <t>PHI</t>
        </is>
      </c>
      <c r="E228" s="10" t="inlineStr">
        <is>
          <t>WR</t>
        </is>
      </c>
      <c r="F228" s="6" t="n"/>
      <c r="G228" s="6" t="n"/>
      <c r="H228" s="6" t="n">
        <v>2.9</v>
      </c>
      <c r="I228" s="6" t="n"/>
      <c r="J228" s="6" t="n"/>
      <c r="K228" s="6" t="n"/>
      <c r="L228" s="6" t="n"/>
      <c r="M228" s="7">
        <f>F228*Settings!$B$4+G228*Settings!$B$5+H228*Settings!$B$6+I228*Settings!$B$7+J228*Settings!$B$8+K228*Settings!$B$9+L228*Settings!$B$10</f>
        <v/>
      </c>
      <c r="N228" s="8">
        <f>M228-INDEX(Settings!$G$4:$G$9,MATCH($E228,Settings!$F$4:$F$9,0))</f>
        <v/>
      </c>
      <c r="O228" s="7">
        <f>N228*INDEX(Settings!$H$4:$H$9,MATCH($E228,Settings!$F$4:$F$9,0))</f>
        <v/>
      </c>
      <c r="P228" s="3" t="inlineStr">
        <is>
          <t>LOW</t>
        </is>
      </c>
      <c r="Q228" s="5" t="inlineStr"/>
    </row>
    <row r="229">
      <c r="A229" s="3" t="n">
        <v>227</v>
      </c>
      <c r="B229" s="10" t="inlineStr">
        <is>
          <t>WR69</t>
        </is>
      </c>
      <c r="C229" s="5" t="inlineStr">
        <is>
          <t>Germie Bernard</t>
        </is>
      </c>
      <c r="D229" s="3" t="inlineStr">
        <is>
          <t>PIT</t>
        </is>
      </c>
      <c r="E229" s="10" t="inlineStr">
        <is>
          <t>WR</t>
        </is>
      </c>
      <c r="F229" s="6" t="n"/>
      <c r="G229" s="6" t="n">
        <v>0.1</v>
      </c>
      <c r="H229" s="6" t="n">
        <v>2.8</v>
      </c>
      <c r="I229" s="6" t="n"/>
      <c r="J229" s="6" t="n"/>
      <c r="K229" s="6" t="n"/>
      <c r="L229" s="6" t="n"/>
      <c r="M229" s="7">
        <f>F229*Settings!$B$4+G229*Settings!$B$5+H229*Settings!$B$6+I229*Settings!$B$7+J229*Settings!$B$8+K229*Settings!$B$9+L229*Settings!$B$10</f>
        <v/>
      </c>
      <c r="N229" s="8">
        <f>M229-INDEX(Settings!$G$4:$G$9,MATCH($E229,Settings!$F$4:$F$9,0))</f>
        <v/>
      </c>
      <c r="O229" s="7">
        <f>N229*INDEX(Settings!$H$4:$H$9,MATCH($E229,Settings!$F$4:$F$9,0))</f>
        <v/>
      </c>
      <c r="P229" s="3" t="inlineStr">
        <is>
          <t>LOW</t>
        </is>
      </c>
      <c r="Q229" s="5" t="inlineStr"/>
    </row>
    <row r="230">
      <c r="A230" s="3" t="n">
        <v>228</v>
      </c>
      <c r="B230" s="9" t="inlineStr">
        <is>
          <t>RB42</t>
        </is>
      </c>
      <c r="C230" s="5" t="inlineStr">
        <is>
          <t>Aaron Jones Sr.</t>
        </is>
      </c>
      <c r="D230" s="3" t="inlineStr">
        <is>
          <t>MIN</t>
        </is>
      </c>
      <c r="E230" s="9" t="inlineStr">
        <is>
          <t>RB</t>
        </is>
      </c>
      <c r="F230" s="6" t="n"/>
      <c r="G230" s="6" t="n">
        <v>3.1</v>
      </c>
      <c r="H230" s="6" t="n">
        <v>1.6</v>
      </c>
      <c r="I230" s="6" t="n"/>
      <c r="J230" s="6" t="n"/>
      <c r="K230" s="6" t="n"/>
      <c r="L230" s="6" t="n"/>
      <c r="M230" s="7">
        <f>F230*Settings!$B$4+G230*Settings!$B$5+H230*Settings!$B$6+I230*Settings!$B$7+J230*Settings!$B$8+K230*Settings!$B$9+L230*Settings!$B$10</f>
        <v/>
      </c>
      <c r="N230" s="8">
        <f>M230-INDEX(Settings!$G$4:$G$9,MATCH($E230,Settings!$F$4:$F$9,0))</f>
        <v/>
      </c>
      <c r="O230" s="7">
        <f>N230*INDEX(Settings!$H$4:$H$9,MATCH($E230,Settings!$F$4:$F$9,0))</f>
        <v/>
      </c>
      <c r="P230" s="3" t="inlineStr">
        <is>
          <t>HIGH</t>
        </is>
      </c>
      <c r="Q230" s="5" t="inlineStr"/>
    </row>
    <row r="231">
      <c r="A231" s="3" t="n">
        <v>229</v>
      </c>
      <c r="B231" s="10" t="inlineStr">
        <is>
          <t>WR70</t>
        </is>
      </c>
      <c r="C231" s="5" t="inlineStr">
        <is>
          <t>Ryan Flournoy</t>
        </is>
      </c>
      <c r="D231" s="3" t="inlineStr">
        <is>
          <t>DAL</t>
        </is>
      </c>
      <c r="E231" s="10" t="inlineStr">
        <is>
          <t>WR</t>
        </is>
      </c>
      <c r="F231" s="6" t="n"/>
      <c r="G231" s="6" t="n">
        <v>0.1</v>
      </c>
      <c r="H231" s="6" t="n">
        <v>2.7</v>
      </c>
      <c r="I231" s="6" t="n"/>
      <c r="J231" s="6" t="n"/>
      <c r="K231" s="6" t="n"/>
      <c r="L231" s="6" t="n"/>
      <c r="M231" s="7">
        <f>F231*Settings!$B$4+G231*Settings!$B$5+H231*Settings!$B$6+I231*Settings!$B$7+J231*Settings!$B$8+K231*Settings!$B$9+L231*Settings!$B$10</f>
        <v/>
      </c>
      <c r="N231" s="8">
        <f>M231-INDEX(Settings!$G$4:$G$9,MATCH($E231,Settings!$F$4:$F$9,0))</f>
        <v/>
      </c>
      <c r="O231" s="7">
        <f>N231*INDEX(Settings!$H$4:$H$9,MATCH($E231,Settings!$F$4:$F$9,0))</f>
        <v/>
      </c>
      <c r="P231" s="3" t="inlineStr">
        <is>
          <t>LOW</t>
        </is>
      </c>
      <c r="Q231" s="5" t="inlineStr"/>
    </row>
    <row r="232">
      <c r="A232" s="3" t="n">
        <v>230</v>
      </c>
      <c r="B232" s="10" t="inlineStr">
        <is>
          <t>WR71</t>
        </is>
      </c>
      <c r="C232" s="5" t="inlineStr">
        <is>
          <t>Keon Coleman</t>
        </is>
      </c>
      <c r="D232" s="3" t="inlineStr">
        <is>
          <t>BUF</t>
        </is>
      </c>
      <c r="E232" s="10" t="inlineStr">
        <is>
          <t>WR</t>
        </is>
      </c>
      <c r="F232" s="6" t="n"/>
      <c r="G232" s="6" t="n"/>
      <c r="H232" s="6" t="n">
        <v>2.8</v>
      </c>
      <c r="I232" s="6" t="n"/>
      <c r="J232" s="6" t="n"/>
      <c r="K232" s="6" t="n"/>
      <c r="L232" s="6" t="n"/>
      <c r="M232" s="7">
        <f>F232*Settings!$B$4+G232*Settings!$B$5+H232*Settings!$B$6+I232*Settings!$B$7+J232*Settings!$B$8+K232*Settings!$B$9+L232*Settings!$B$10</f>
        <v/>
      </c>
      <c r="N232" s="8">
        <f>M232-INDEX(Settings!$G$4:$G$9,MATCH($E232,Settings!$F$4:$F$9,0))</f>
        <v/>
      </c>
      <c r="O232" s="7">
        <f>N232*INDEX(Settings!$H$4:$H$9,MATCH($E232,Settings!$F$4:$F$9,0))</f>
        <v/>
      </c>
      <c r="P232" s="3" t="inlineStr">
        <is>
          <t>LOW</t>
        </is>
      </c>
      <c r="Q232" s="5" t="inlineStr"/>
    </row>
    <row r="233">
      <c r="A233" s="3" t="n">
        <v>231</v>
      </c>
      <c r="B233" s="10" t="inlineStr">
        <is>
          <t>WR72</t>
        </is>
      </c>
      <c r="C233" s="5" t="inlineStr">
        <is>
          <t>Tre Tucker</t>
        </is>
      </c>
      <c r="D233" s="3" t="inlineStr">
        <is>
          <t>LV</t>
        </is>
      </c>
      <c r="E233" s="10" t="inlineStr">
        <is>
          <t>WR</t>
        </is>
      </c>
      <c r="F233" s="6" t="n"/>
      <c r="G233" s="6" t="n">
        <v>0.3</v>
      </c>
      <c r="H233" s="6" t="n">
        <v>2.5</v>
      </c>
      <c r="I233" s="6" t="n"/>
      <c r="J233" s="6" t="n"/>
      <c r="K233" s="6" t="n"/>
      <c r="L233" s="6" t="n"/>
      <c r="M233" s="7">
        <f>F233*Settings!$B$4+G233*Settings!$B$5+H233*Settings!$B$6+I233*Settings!$B$7+J233*Settings!$B$8+K233*Settings!$B$9+L233*Settings!$B$10</f>
        <v/>
      </c>
      <c r="N233" s="8">
        <f>M233-INDEX(Settings!$G$4:$G$9,MATCH($E233,Settings!$F$4:$F$9,0))</f>
        <v/>
      </c>
      <c r="O233" s="7">
        <f>N233*INDEX(Settings!$H$4:$H$9,MATCH($E233,Settings!$F$4:$F$9,0))</f>
        <v/>
      </c>
      <c r="P233" s="3" t="inlineStr">
        <is>
          <t>LOW</t>
        </is>
      </c>
      <c r="Q233" s="5" t="inlineStr"/>
    </row>
    <row r="234">
      <c r="A234" s="3" t="n">
        <v>232</v>
      </c>
      <c r="B234" s="10" t="inlineStr">
        <is>
          <t>WR73</t>
        </is>
      </c>
      <c r="C234" s="5" t="inlineStr">
        <is>
          <t>Cooper Kupp</t>
        </is>
      </c>
      <c r="D234" s="3" t="inlineStr">
        <is>
          <t>SEA</t>
        </is>
      </c>
      <c r="E234" s="10" t="inlineStr">
        <is>
          <t>WR</t>
        </is>
      </c>
      <c r="F234" s="6" t="n"/>
      <c r="G234" s="6" t="n"/>
      <c r="H234" s="6" t="n">
        <v>2.8</v>
      </c>
      <c r="I234" s="6" t="n"/>
      <c r="J234" s="6" t="n"/>
      <c r="K234" s="6" t="n"/>
      <c r="L234" s="6" t="n"/>
      <c r="M234" s="7">
        <f>F234*Settings!$B$4+G234*Settings!$B$5+H234*Settings!$B$6+I234*Settings!$B$7+J234*Settings!$B$8+K234*Settings!$B$9+L234*Settings!$B$10</f>
        <v/>
      </c>
      <c r="N234" s="8">
        <f>M234-INDEX(Settings!$G$4:$G$9,MATCH($E234,Settings!$F$4:$F$9,0))</f>
        <v/>
      </c>
      <c r="O234" s="7">
        <f>N234*INDEX(Settings!$H$4:$H$9,MATCH($E234,Settings!$F$4:$F$9,0))</f>
        <v/>
      </c>
      <c r="P234" s="3" t="inlineStr">
        <is>
          <t>LOW</t>
        </is>
      </c>
      <c r="Q234" s="5" t="inlineStr"/>
    </row>
    <row r="235">
      <c r="A235" s="3" t="n">
        <v>233</v>
      </c>
      <c r="B235" s="10" t="inlineStr">
        <is>
          <t>WR74</t>
        </is>
      </c>
      <c r="C235" s="5" t="inlineStr">
        <is>
          <t>Kayshon Boutte</t>
        </is>
      </c>
      <c r="D235" s="3" t="inlineStr">
        <is>
          <t>HOU</t>
        </is>
      </c>
      <c r="E235" s="10" t="inlineStr">
        <is>
          <t>WR</t>
        </is>
      </c>
      <c r="F235" s="6" t="n"/>
      <c r="G235" s="6" t="n"/>
      <c r="H235" s="6" t="n">
        <v>2.8</v>
      </c>
      <c r="I235" s="6" t="n"/>
      <c r="J235" s="6" t="n"/>
      <c r="K235" s="6" t="n"/>
      <c r="L235" s="6" t="n"/>
      <c r="M235" s="7">
        <f>F235*Settings!$B$4+G235*Settings!$B$5+H235*Settings!$B$6+I235*Settings!$B$7+J235*Settings!$B$8+K235*Settings!$B$9+L235*Settings!$B$10</f>
        <v/>
      </c>
      <c r="N235" s="8">
        <f>M235-INDEX(Settings!$G$4:$G$9,MATCH($E235,Settings!$F$4:$F$9,0))</f>
        <v/>
      </c>
      <c r="O235" s="7">
        <f>N235*INDEX(Settings!$H$4:$H$9,MATCH($E235,Settings!$F$4:$F$9,0))</f>
        <v/>
      </c>
      <c r="P235" s="3" t="inlineStr">
        <is>
          <t>LOW</t>
        </is>
      </c>
      <c r="Q235" s="5" t="inlineStr"/>
    </row>
    <row r="236">
      <c r="A236" s="3" t="n">
        <v>234</v>
      </c>
      <c r="B236" s="11" t="inlineStr">
        <is>
          <t>K31</t>
        </is>
      </c>
      <c r="C236" s="5" t="inlineStr">
        <is>
          <t>Matt Gay</t>
        </is>
      </c>
      <c r="D236" s="3" t="inlineStr">
        <is>
          <t>LV</t>
        </is>
      </c>
      <c r="E236" s="11" t="inlineStr">
        <is>
          <t>K</t>
        </is>
      </c>
      <c r="F236" s="6" t="n"/>
      <c r="G236" s="6" t="n"/>
      <c r="H236" s="6" t="n"/>
      <c r="I236" s="6" t="n">
        <v>23</v>
      </c>
      <c r="J236" s="6" t="n">
        <v>32</v>
      </c>
      <c r="K236" s="6" t="n"/>
      <c r="L236" s="6" t="n"/>
      <c r="M236" s="7">
        <f>F236*Settings!$B$4+G236*Settings!$B$5+H236*Settings!$B$6+I236*Settings!$B$7+J236*Settings!$B$8+K236*Settings!$B$9+L236*Settings!$B$10</f>
        <v/>
      </c>
      <c r="N236" s="8">
        <f>M236-INDEX(Settings!$G$4:$G$9,MATCH($E236,Settings!$F$4:$F$9,0))</f>
        <v/>
      </c>
      <c r="O236" s="7">
        <f>N236*INDEX(Settings!$H$4:$H$9,MATCH($E236,Settings!$F$4:$F$9,0))</f>
        <v/>
      </c>
      <c r="P236" s="3" t="inlineStr">
        <is>
          <t>MEDIUM</t>
        </is>
      </c>
      <c r="Q236" s="5" t="inlineStr">
        <is>
          <t>LV 5.5 win total</t>
        </is>
      </c>
    </row>
    <row r="237">
      <c r="A237" s="3" t="n">
        <v>235</v>
      </c>
      <c r="B237" s="11" t="inlineStr">
        <is>
          <t>K32</t>
        </is>
      </c>
      <c r="C237" s="5" t="inlineStr">
        <is>
          <t>Andre Szmyt</t>
        </is>
      </c>
      <c r="D237" s="3" t="inlineStr">
        <is>
          <t>CLE</t>
        </is>
      </c>
      <c r="E237" s="11" t="inlineStr">
        <is>
          <t>K</t>
        </is>
      </c>
      <c r="F237" s="6" t="n"/>
      <c r="G237" s="6" t="n"/>
      <c r="H237" s="6" t="n"/>
      <c r="I237" s="6" t="n">
        <v>23</v>
      </c>
      <c r="J237" s="6" t="n">
        <v>32</v>
      </c>
      <c r="K237" s="6" t="n"/>
      <c r="L237" s="6" t="n"/>
      <c r="M237" s="7">
        <f>F237*Settings!$B$4+G237*Settings!$B$5+H237*Settings!$B$6+I237*Settings!$B$7+J237*Settings!$B$8+K237*Settings!$B$9+L237*Settings!$B$10</f>
        <v/>
      </c>
      <c r="N237" s="8">
        <f>M237-INDEX(Settings!$G$4:$G$9,MATCH($E237,Settings!$F$4:$F$9,0))</f>
        <v/>
      </c>
      <c r="O237" s="7">
        <f>N237*INDEX(Settings!$H$4:$H$9,MATCH($E237,Settings!$F$4:$F$9,0))</f>
        <v/>
      </c>
      <c r="P237" s="3" t="inlineStr">
        <is>
          <t>LOW</t>
        </is>
      </c>
      <c r="Q237" s="5" t="inlineStr">
        <is>
          <t>CLE 7.8 win total</t>
        </is>
      </c>
    </row>
    <row r="238">
      <c r="A238" s="3" t="n">
        <v>236</v>
      </c>
      <c r="B238" s="10" t="inlineStr">
        <is>
          <t>WR75</t>
        </is>
      </c>
      <c r="C238" s="5" t="inlineStr">
        <is>
          <t>Jerry Jeudy</t>
        </is>
      </c>
      <c r="D238" s="3" t="inlineStr">
        <is>
          <t>CLE</t>
        </is>
      </c>
      <c r="E238" s="10" t="inlineStr">
        <is>
          <t>WR</t>
        </is>
      </c>
      <c r="F238" s="6" t="n"/>
      <c r="G238" s="6" t="n"/>
      <c r="H238" s="6" t="n">
        <v>2.7</v>
      </c>
      <c r="I238" s="6" t="n"/>
      <c r="J238" s="6" t="n"/>
      <c r="K238" s="6" t="n"/>
      <c r="L238" s="6" t="n"/>
      <c r="M238" s="7">
        <f>F238*Settings!$B$4+G238*Settings!$B$5+H238*Settings!$B$6+I238*Settings!$B$7+J238*Settings!$B$8+K238*Settings!$B$9+L238*Settings!$B$10</f>
        <v/>
      </c>
      <c r="N238" s="8">
        <f>M238-INDEX(Settings!$G$4:$G$9,MATCH($E238,Settings!$F$4:$F$9,0))</f>
        <v/>
      </c>
      <c r="O238" s="7">
        <f>N238*INDEX(Settings!$H$4:$H$9,MATCH($E238,Settings!$F$4:$F$9,0))</f>
        <v/>
      </c>
      <c r="P238" s="3" t="inlineStr">
        <is>
          <t>LOW</t>
        </is>
      </c>
      <c r="Q238" s="5" t="inlineStr"/>
    </row>
    <row r="239">
      <c r="A239" s="3" t="n">
        <v>237</v>
      </c>
      <c r="B239" s="10" t="inlineStr">
        <is>
          <t>WR76</t>
        </is>
      </c>
      <c r="C239" s="5" t="inlineStr">
        <is>
          <t>Keenan Allen</t>
        </is>
      </c>
      <c r="D239" s="3" t="inlineStr">
        <is>
          <t>IND</t>
        </is>
      </c>
      <c r="E239" s="10" t="inlineStr">
        <is>
          <t>WR</t>
        </is>
      </c>
      <c r="F239" s="6" t="n"/>
      <c r="G239" s="6" t="n"/>
      <c r="H239" s="6" t="n">
        <v>2.7</v>
      </c>
      <c r="I239" s="6" t="n"/>
      <c r="J239" s="6" t="n"/>
      <c r="K239" s="6" t="n"/>
      <c r="L239" s="6" t="n"/>
      <c r="M239" s="7">
        <f>F239*Settings!$B$4+G239*Settings!$B$5+H239*Settings!$B$6+I239*Settings!$B$7+J239*Settings!$B$8+K239*Settings!$B$9+L239*Settings!$B$10</f>
        <v/>
      </c>
      <c r="N239" s="8">
        <f>M239-INDEX(Settings!$G$4:$G$9,MATCH($E239,Settings!$F$4:$F$9,0))</f>
        <v/>
      </c>
      <c r="O239" s="7">
        <f>N239*INDEX(Settings!$H$4:$H$9,MATCH($E239,Settings!$F$4:$F$9,0))</f>
        <v/>
      </c>
      <c r="P239" s="3" t="inlineStr">
        <is>
          <t>LOW</t>
        </is>
      </c>
      <c r="Q239" s="5" t="inlineStr"/>
    </row>
    <row r="240">
      <c r="A240" s="3" t="n">
        <v>238</v>
      </c>
      <c r="B240" s="10" t="inlineStr">
        <is>
          <t>WR77</t>
        </is>
      </c>
      <c r="C240" s="5" t="inlineStr">
        <is>
          <t>Jordyn Tyson</t>
        </is>
      </c>
      <c r="D240" s="3" t="inlineStr">
        <is>
          <t>NO</t>
        </is>
      </c>
      <c r="E240" s="10" t="inlineStr">
        <is>
          <t>WR</t>
        </is>
      </c>
      <c r="F240" s="6" t="n"/>
      <c r="G240" s="6" t="n"/>
      <c r="H240" s="6" t="n">
        <v>2.7</v>
      </c>
      <c r="I240" s="6" t="n"/>
      <c r="J240" s="6" t="n"/>
      <c r="K240" s="6" t="n"/>
      <c r="L240" s="6" t="n"/>
      <c r="M240" s="7">
        <f>F240*Settings!$B$4+G240*Settings!$B$5+H240*Settings!$B$6+I240*Settings!$B$7+J240*Settings!$B$8+K240*Settings!$B$9+L240*Settings!$B$10</f>
        <v/>
      </c>
      <c r="N240" s="8">
        <f>M240-INDEX(Settings!$G$4:$G$9,MATCH($E240,Settings!$F$4:$F$9,0))</f>
        <v/>
      </c>
      <c r="O240" s="7">
        <f>N240*INDEX(Settings!$H$4:$H$9,MATCH($E240,Settings!$F$4:$F$9,0))</f>
        <v/>
      </c>
      <c r="P240" s="3" t="inlineStr">
        <is>
          <t>LOW</t>
        </is>
      </c>
      <c r="Q240" s="5" t="inlineStr"/>
    </row>
    <row r="241">
      <c r="A241" s="3" t="n">
        <v>239</v>
      </c>
      <c r="B241" s="10" t="inlineStr">
        <is>
          <t>WR78</t>
        </is>
      </c>
      <c r="C241" s="5" t="inlineStr">
        <is>
          <t>Xavier Legette</t>
        </is>
      </c>
      <c r="D241" s="3" t="inlineStr">
        <is>
          <t>CAR</t>
        </is>
      </c>
      <c r="E241" s="10" t="inlineStr">
        <is>
          <t>WR</t>
        </is>
      </c>
      <c r="F241" s="6" t="n"/>
      <c r="G241" s="6" t="n">
        <v>0.1</v>
      </c>
      <c r="H241" s="6" t="n">
        <v>2.6</v>
      </c>
      <c r="I241" s="6" t="n"/>
      <c r="J241" s="6" t="n"/>
      <c r="K241" s="6" t="n"/>
      <c r="L241" s="6" t="n"/>
      <c r="M241" s="7">
        <f>F241*Settings!$B$4+G241*Settings!$B$5+H241*Settings!$B$6+I241*Settings!$B$7+J241*Settings!$B$8+K241*Settings!$B$9+L241*Settings!$B$10</f>
        <v/>
      </c>
      <c r="N241" s="8">
        <f>M241-INDEX(Settings!$G$4:$G$9,MATCH($E241,Settings!$F$4:$F$9,0))</f>
        <v/>
      </c>
      <c r="O241" s="7">
        <f>N241*INDEX(Settings!$H$4:$H$9,MATCH($E241,Settings!$F$4:$F$9,0))</f>
        <v/>
      </c>
      <c r="P241" s="3" t="inlineStr">
        <is>
          <t>LOW</t>
        </is>
      </c>
      <c r="Q241" s="5" t="inlineStr"/>
    </row>
    <row r="242">
      <c r="A242" s="3" t="n">
        <v>240</v>
      </c>
      <c r="B242" s="10" t="inlineStr">
        <is>
          <t>WR79</t>
        </is>
      </c>
      <c r="C242" s="5" t="inlineStr">
        <is>
          <t>Jaylin Noel</t>
        </is>
      </c>
      <c r="D242" s="3" t="inlineStr">
        <is>
          <t>HOU</t>
        </is>
      </c>
      <c r="E242" s="10" t="inlineStr">
        <is>
          <t>WR</t>
        </is>
      </c>
      <c r="F242" s="6" t="n"/>
      <c r="G242" s="6" t="n">
        <v>0.1</v>
      </c>
      <c r="H242" s="6" t="n">
        <v>2.5</v>
      </c>
      <c r="I242" s="6" t="n"/>
      <c r="J242" s="6" t="n"/>
      <c r="K242" s="6" t="n"/>
      <c r="L242" s="6" t="n"/>
      <c r="M242" s="7">
        <f>F242*Settings!$B$4+G242*Settings!$B$5+H242*Settings!$B$6+I242*Settings!$B$7+J242*Settings!$B$8+K242*Settings!$B$9+L242*Settings!$B$10</f>
        <v/>
      </c>
      <c r="N242" s="8">
        <f>M242-INDEX(Settings!$G$4:$G$9,MATCH($E242,Settings!$F$4:$F$9,0))</f>
        <v/>
      </c>
      <c r="O242" s="7">
        <f>N242*INDEX(Settings!$H$4:$H$9,MATCH($E242,Settings!$F$4:$F$9,0))</f>
        <v/>
      </c>
      <c r="P242" s="3" t="inlineStr">
        <is>
          <t>LOW</t>
        </is>
      </c>
      <c r="Q242" s="5" t="inlineStr"/>
    </row>
    <row r="243">
      <c r="A243" s="3" t="n">
        <v>241</v>
      </c>
      <c r="B243" s="10" t="inlineStr">
        <is>
          <t>WR80</t>
        </is>
      </c>
      <c r="C243" s="5" t="inlineStr">
        <is>
          <t>Wan'Dale Robinson</t>
        </is>
      </c>
      <c r="D243" s="3" t="inlineStr">
        <is>
          <t>TEN</t>
        </is>
      </c>
      <c r="E243" s="10" t="inlineStr">
        <is>
          <t>WR</t>
        </is>
      </c>
      <c r="F243" s="6" t="n"/>
      <c r="G243" s="6" t="n">
        <v>0.1</v>
      </c>
      <c r="H243" s="6" t="n">
        <v>2.5</v>
      </c>
      <c r="I243" s="6" t="n"/>
      <c r="J243" s="6" t="n"/>
      <c r="K243" s="6" t="n"/>
      <c r="L243" s="6" t="n"/>
      <c r="M243" s="7">
        <f>F243*Settings!$B$4+G243*Settings!$B$5+H243*Settings!$B$6+I243*Settings!$B$7+J243*Settings!$B$8+K243*Settings!$B$9+L243*Settings!$B$10</f>
        <v/>
      </c>
      <c r="N243" s="8">
        <f>M243-INDEX(Settings!$G$4:$G$9,MATCH($E243,Settings!$F$4:$F$9,0))</f>
        <v/>
      </c>
      <c r="O243" s="7">
        <f>N243*INDEX(Settings!$H$4:$H$9,MATCH($E243,Settings!$F$4:$F$9,0))</f>
        <v/>
      </c>
      <c r="P243" s="3" t="inlineStr">
        <is>
          <t>HIGH</t>
        </is>
      </c>
      <c r="Q243" s="5" t="inlineStr"/>
    </row>
    <row r="244">
      <c r="A244" s="3" t="n">
        <v>242</v>
      </c>
      <c r="B244" s="10" t="inlineStr">
        <is>
          <t>WR81</t>
        </is>
      </c>
      <c r="C244" s="5" t="inlineStr">
        <is>
          <t>Tank Dell</t>
        </is>
      </c>
      <c r="D244" s="3" t="inlineStr">
        <is>
          <t>HOU</t>
        </is>
      </c>
      <c r="E244" s="10" t="inlineStr">
        <is>
          <t>WR</t>
        </is>
      </c>
      <c r="F244" s="6" t="n"/>
      <c r="G244" s="6" t="n">
        <v>0.2</v>
      </c>
      <c r="H244" s="6" t="n">
        <v>2.4</v>
      </c>
      <c r="I244" s="6" t="n"/>
      <c r="J244" s="6" t="n"/>
      <c r="K244" s="6" t="n"/>
      <c r="L244" s="6" t="n"/>
      <c r="M244" s="7">
        <f>F244*Settings!$B$4+G244*Settings!$B$5+H244*Settings!$B$6+I244*Settings!$B$7+J244*Settings!$B$8+K244*Settings!$B$9+L244*Settings!$B$10</f>
        <v/>
      </c>
      <c r="N244" s="8">
        <f>M244-INDEX(Settings!$G$4:$G$9,MATCH($E244,Settings!$F$4:$F$9,0))</f>
        <v/>
      </c>
      <c r="O244" s="7">
        <f>N244*INDEX(Settings!$H$4:$H$9,MATCH($E244,Settings!$F$4:$F$9,0))</f>
        <v/>
      </c>
      <c r="P244" s="3" t="inlineStr">
        <is>
          <t>LOW</t>
        </is>
      </c>
      <c r="Q244" s="5" t="inlineStr"/>
    </row>
    <row r="245">
      <c r="A245" s="3" t="n">
        <v>243</v>
      </c>
      <c r="B245" s="10" t="inlineStr">
        <is>
          <t>WR82</t>
        </is>
      </c>
      <c r="C245" s="5" t="inlineStr">
        <is>
          <t>Tre' Harris</t>
        </is>
      </c>
      <c r="D245" s="3" t="inlineStr">
        <is>
          <t>LAC</t>
        </is>
      </c>
      <c r="E245" s="10" t="inlineStr">
        <is>
          <t>WR</t>
        </is>
      </c>
      <c r="F245" s="6" t="n"/>
      <c r="G245" s="6" t="n"/>
      <c r="H245" s="6" t="n">
        <v>2.5</v>
      </c>
      <c r="I245" s="6" t="n"/>
      <c r="J245" s="6" t="n"/>
      <c r="K245" s="6" t="n"/>
      <c r="L245" s="6" t="n"/>
      <c r="M245" s="7">
        <f>F245*Settings!$B$4+G245*Settings!$B$5+H245*Settings!$B$6+I245*Settings!$B$7+J245*Settings!$B$8+K245*Settings!$B$9+L245*Settings!$B$10</f>
        <v/>
      </c>
      <c r="N245" s="8">
        <f>M245-INDEX(Settings!$G$4:$G$9,MATCH($E245,Settings!$F$4:$F$9,0))</f>
        <v/>
      </c>
      <c r="O245" s="7">
        <f>N245*INDEX(Settings!$H$4:$H$9,MATCH($E245,Settings!$F$4:$F$9,0))</f>
        <v/>
      </c>
      <c r="P245" s="3" t="inlineStr">
        <is>
          <t>LOW</t>
        </is>
      </c>
      <c r="Q245" s="5" t="inlineStr"/>
    </row>
    <row r="246">
      <c r="A246" s="3" t="n">
        <v>244</v>
      </c>
      <c r="B246" s="10" t="inlineStr">
        <is>
          <t>WR83</t>
        </is>
      </c>
      <c r="C246" s="5" t="inlineStr">
        <is>
          <t>Antonio Williams</t>
        </is>
      </c>
      <c r="D246" s="3" t="inlineStr">
        <is>
          <t>WAS</t>
        </is>
      </c>
      <c r="E246" s="10" t="inlineStr">
        <is>
          <t>WR</t>
        </is>
      </c>
      <c r="F246" s="6" t="n"/>
      <c r="G246" s="6" t="n">
        <v>0.2</v>
      </c>
      <c r="H246" s="6" t="n">
        <v>2.3</v>
      </c>
      <c r="I246" s="6" t="n"/>
      <c r="J246" s="6" t="n"/>
      <c r="K246" s="6" t="n"/>
      <c r="L246" s="6" t="n"/>
      <c r="M246" s="7">
        <f>F246*Settings!$B$4+G246*Settings!$B$5+H246*Settings!$B$6+I246*Settings!$B$7+J246*Settings!$B$8+K246*Settings!$B$9+L246*Settings!$B$10</f>
        <v/>
      </c>
      <c r="N246" s="8">
        <f>M246-INDEX(Settings!$G$4:$G$9,MATCH($E246,Settings!$F$4:$F$9,0))</f>
        <v/>
      </c>
      <c r="O246" s="7">
        <f>N246*INDEX(Settings!$H$4:$H$9,MATCH($E246,Settings!$F$4:$F$9,0))</f>
        <v/>
      </c>
      <c r="P246" s="3" t="inlineStr">
        <is>
          <t>LOW</t>
        </is>
      </c>
      <c r="Q246" s="5" t="inlineStr"/>
    </row>
    <row r="247">
      <c r="A247" s="3" t="n">
        <v>245</v>
      </c>
      <c r="B247" s="4" t="inlineStr">
        <is>
          <t>QB24</t>
        </is>
      </c>
      <c r="C247" s="5" t="inlineStr">
        <is>
          <t>C.J. Stroud</t>
        </is>
      </c>
      <c r="D247" s="3" t="inlineStr">
        <is>
          <t>HOU</t>
        </is>
      </c>
      <c r="E247" s="4" t="inlineStr">
        <is>
          <t>QB</t>
        </is>
      </c>
      <c r="F247" s="6" t="n">
        <v>22.5</v>
      </c>
      <c r="G247" s="6" t="n">
        <v>1.5</v>
      </c>
      <c r="H247" s="6" t="n"/>
      <c r="I247" s="6" t="n"/>
      <c r="J247" s="6" t="n"/>
      <c r="K247" s="6" t="n"/>
      <c r="L247" s="6" t="n"/>
      <c r="M247" s="7">
        <f>F247*Settings!$B$4+G247*Settings!$B$5+H247*Settings!$B$6+I247*Settings!$B$7+J247*Settings!$B$8+K247*Settings!$B$9+L247*Settings!$B$10</f>
        <v/>
      </c>
      <c r="N247" s="8">
        <f>M247-INDEX(Settings!$G$4:$G$9,MATCH($E247,Settings!$F$4:$F$9,0))</f>
        <v/>
      </c>
      <c r="O247" s="7">
        <f>N247*INDEX(Settings!$H$4:$H$9,MATCH($E247,Settings!$F$4:$F$9,0))</f>
        <v/>
      </c>
      <c r="P247" s="3" t="inlineStr">
        <is>
          <t>HIGH</t>
        </is>
      </c>
      <c r="Q247" s="5" t="inlineStr">
        <is>
          <t>Vegas is fading him</t>
        </is>
      </c>
    </row>
    <row r="248">
      <c r="A248" s="3" t="n">
        <v>246</v>
      </c>
      <c r="B248" s="10" t="inlineStr">
        <is>
          <t>WR84</t>
        </is>
      </c>
      <c r="C248" s="5" t="inlineStr">
        <is>
          <t>Omar Cooper Jr.</t>
        </is>
      </c>
      <c r="D248" s="3" t="inlineStr">
        <is>
          <t>NYJ</t>
        </is>
      </c>
      <c r="E248" s="10" t="inlineStr">
        <is>
          <t>WR</t>
        </is>
      </c>
      <c r="F248" s="6" t="n"/>
      <c r="G248" s="6" t="n">
        <v>0.1</v>
      </c>
      <c r="H248" s="6" t="n">
        <v>2.2</v>
      </c>
      <c r="I248" s="6" t="n"/>
      <c r="J248" s="6" t="n"/>
      <c r="K248" s="6" t="n"/>
      <c r="L248" s="6" t="n"/>
      <c r="M248" s="7">
        <f>F248*Settings!$B$4+G248*Settings!$B$5+H248*Settings!$B$6+I248*Settings!$B$7+J248*Settings!$B$8+K248*Settings!$B$9+L248*Settings!$B$10</f>
        <v/>
      </c>
      <c r="N248" s="8">
        <f>M248-INDEX(Settings!$G$4:$G$9,MATCH($E248,Settings!$F$4:$F$9,0))</f>
        <v/>
      </c>
      <c r="O248" s="7">
        <f>N248*INDEX(Settings!$H$4:$H$9,MATCH($E248,Settings!$F$4:$F$9,0))</f>
        <v/>
      </c>
      <c r="P248" s="3" t="inlineStr">
        <is>
          <t>LOW</t>
        </is>
      </c>
      <c r="Q248" s="5" t="inlineStr"/>
    </row>
    <row r="249">
      <c r="A249" s="3" t="n">
        <v>247</v>
      </c>
      <c r="B249" s="10" t="inlineStr">
        <is>
          <t>WR85</t>
        </is>
      </c>
      <c r="C249" s="5" t="inlineStr">
        <is>
          <t>Jahan Dotson</t>
        </is>
      </c>
      <c r="D249" s="3" t="inlineStr">
        <is>
          <t>ATL</t>
        </is>
      </c>
      <c r="E249" s="10" t="inlineStr">
        <is>
          <t>WR</t>
        </is>
      </c>
      <c r="F249" s="6" t="n"/>
      <c r="G249" s="6" t="n"/>
      <c r="H249" s="6" t="n">
        <v>2.3</v>
      </c>
      <c r="I249" s="6" t="n"/>
      <c r="J249" s="6" t="n"/>
      <c r="K249" s="6" t="n"/>
      <c r="L249" s="6" t="n"/>
      <c r="M249" s="7">
        <f>F249*Settings!$B$4+G249*Settings!$B$5+H249*Settings!$B$6+I249*Settings!$B$7+J249*Settings!$B$8+K249*Settings!$B$9+L249*Settings!$B$10</f>
        <v/>
      </c>
      <c r="N249" s="8">
        <f>M249-INDEX(Settings!$G$4:$G$9,MATCH($E249,Settings!$F$4:$F$9,0))</f>
        <v/>
      </c>
      <c r="O249" s="7">
        <f>N249*INDEX(Settings!$H$4:$H$9,MATCH($E249,Settings!$F$4:$F$9,0))</f>
        <v/>
      </c>
      <c r="P249" s="3" t="inlineStr">
        <is>
          <t>LOW</t>
        </is>
      </c>
      <c r="Q249" s="5" t="inlineStr"/>
    </row>
    <row r="250">
      <c r="A250" s="3" t="n">
        <v>248</v>
      </c>
      <c r="B250" s="9" t="inlineStr">
        <is>
          <t>RB43</t>
        </is>
      </c>
      <c r="C250" s="5" t="inlineStr">
        <is>
          <t>Isiah Pacheco</t>
        </is>
      </c>
      <c r="D250" s="3" t="inlineStr">
        <is>
          <t>DET</t>
        </is>
      </c>
      <c r="E250" s="9" t="inlineStr">
        <is>
          <t>RB</t>
        </is>
      </c>
      <c r="F250" s="6" t="n"/>
      <c r="G250" s="6" t="n">
        <v>3.8</v>
      </c>
      <c r="H250" s="6" t="n">
        <v>0.4</v>
      </c>
      <c r="I250" s="6" t="n"/>
      <c r="J250" s="6" t="n"/>
      <c r="K250" s="6" t="n"/>
      <c r="L250" s="6" t="n"/>
      <c r="M250" s="7">
        <f>F250*Settings!$B$4+G250*Settings!$B$5+H250*Settings!$B$6+I250*Settings!$B$7+J250*Settings!$B$8+K250*Settings!$B$9+L250*Settings!$B$10</f>
        <v/>
      </c>
      <c r="N250" s="8">
        <f>M250-INDEX(Settings!$G$4:$G$9,MATCH($E250,Settings!$F$4:$F$9,0))</f>
        <v/>
      </c>
      <c r="O250" s="7">
        <f>N250*INDEX(Settings!$H$4:$H$9,MATCH($E250,Settings!$F$4:$F$9,0))</f>
        <v/>
      </c>
      <c r="P250" s="3" t="inlineStr">
        <is>
          <t>HIGH</t>
        </is>
      </c>
      <c r="Q250" s="5" t="inlineStr">
        <is>
          <t>Signed KC to DET</t>
        </is>
      </c>
    </row>
    <row r="251">
      <c r="A251" s="3" t="n">
        <v>249</v>
      </c>
      <c r="B251" s="9" t="inlineStr">
        <is>
          <t>RB44</t>
        </is>
      </c>
      <c r="C251" s="5" t="inlineStr">
        <is>
          <t>Brian Robinson Jr.</t>
        </is>
      </c>
      <c r="D251" s="3" t="inlineStr">
        <is>
          <t>ATL</t>
        </is>
      </c>
      <c r="E251" s="9" t="inlineStr">
        <is>
          <t>RB</t>
        </is>
      </c>
      <c r="F251" s="6" t="n"/>
      <c r="G251" s="6" t="n">
        <v>3.9</v>
      </c>
      <c r="H251" s="6" t="n">
        <v>0.1</v>
      </c>
      <c r="I251" s="6" t="n"/>
      <c r="J251" s="6" t="n"/>
      <c r="K251" s="6" t="n"/>
      <c r="L251" s="6" t="n"/>
      <c r="M251" s="7">
        <f>F251*Settings!$B$4+G251*Settings!$B$5+H251*Settings!$B$6+I251*Settings!$B$7+J251*Settings!$B$8+K251*Settings!$B$9+L251*Settings!$B$10</f>
        <v/>
      </c>
      <c r="N251" s="8">
        <f>M251-INDEX(Settings!$G$4:$G$9,MATCH($E251,Settings!$F$4:$F$9,0))</f>
        <v/>
      </c>
      <c r="O251" s="7">
        <f>N251*INDEX(Settings!$H$4:$H$9,MATCH($E251,Settings!$F$4:$F$9,0))</f>
        <v/>
      </c>
      <c r="P251" s="3" t="inlineStr">
        <is>
          <t>HIGH</t>
        </is>
      </c>
      <c r="Q251" s="5" t="inlineStr">
        <is>
          <t>Vultures Bijan at goal line</t>
        </is>
      </c>
    </row>
    <row r="252">
      <c r="A252" s="3" t="n">
        <v>250</v>
      </c>
      <c r="B252" s="9" t="inlineStr">
        <is>
          <t>RB45</t>
        </is>
      </c>
      <c r="C252" s="5" t="inlineStr">
        <is>
          <t>Tyjae Spears</t>
        </is>
      </c>
      <c r="D252" s="3" t="inlineStr">
        <is>
          <t>TEN</t>
        </is>
      </c>
      <c r="E252" s="9" t="inlineStr">
        <is>
          <t>RB</t>
        </is>
      </c>
      <c r="F252" s="6" t="n"/>
      <c r="G252" s="6" t="n">
        <v>2.5</v>
      </c>
      <c r="H252" s="6" t="n">
        <v>1.3</v>
      </c>
      <c r="I252" s="6" t="n"/>
      <c r="J252" s="6" t="n"/>
      <c r="K252" s="6" t="n"/>
      <c r="L252" s="6" t="n"/>
      <c r="M252" s="7">
        <f>F252*Settings!$B$4+G252*Settings!$B$5+H252*Settings!$B$6+I252*Settings!$B$7+J252*Settings!$B$8+K252*Settings!$B$9+L252*Settings!$B$10</f>
        <v/>
      </c>
      <c r="N252" s="8">
        <f>M252-INDEX(Settings!$G$4:$G$9,MATCH($E252,Settings!$F$4:$F$9,0))</f>
        <v/>
      </c>
      <c r="O252" s="7">
        <f>N252*INDEX(Settings!$H$4:$H$9,MATCH($E252,Settings!$F$4:$F$9,0))</f>
        <v/>
      </c>
      <c r="P252" s="3" t="inlineStr">
        <is>
          <t>HIGH</t>
        </is>
      </c>
      <c r="Q252" s="5" t="inlineStr"/>
    </row>
    <row r="253">
      <c r="A253" s="3" t="n">
        <v>251</v>
      </c>
      <c r="B253" s="9" t="inlineStr">
        <is>
          <t>RB46</t>
        </is>
      </c>
      <c r="C253" s="5" t="inlineStr">
        <is>
          <t>Chris Rodriguez Jr.</t>
        </is>
      </c>
      <c r="D253" s="3" t="inlineStr">
        <is>
          <t>JAX</t>
        </is>
      </c>
      <c r="E253" s="9" t="inlineStr">
        <is>
          <t>RB</t>
        </is>
      </c>
      <c r="F253" s="6" t="n"/>
      <c r="G253" s="6" t="n">
        <v>3.7</v>
      </c>
      <c r="H253" s="6" t="n">
        <v>0.1</v>
      </c>
      <c r="I253" s="6" t="n"/>
      <c r="J253" s="6" t="n"/>
      <c r="K253" s="6" t="n"/>
      <c r="L253" s="6" t="n"/>
      <c r="M253" s="7">
        <f>F253*Settings!$B$4+G253*Settings!$B$5+H253*Settings!$B$6+I253*Settings!$B$7+J253*Settings!$B$8+K253*Settings!$B$9+L253*Settings!$B$10</f>
        <v/>
      </c>
      <c r="N253" s="8">
        <f>M253-INDEX(Settings!$G$4:$G$9,MATCH($E253,Settings!$F$4:$F$9,0))</f>
        <v/>
      </c>
      <c r="O253" s="7">
        <f>N253*INDEX(Settings!$H$4:$H$9,MATCH($E253,Settings!$F$4:$F$9,0))</f>
        <v/>
      </c>
      <c r="P253" s="3" t="inlineStr">
        <is>
          <t>HIGH</t>
        </is>
      </c>
      <c r="Q253" s="5" t="inlineStr">
        <is>
          <t>SLEEPER: hand-picked by Coen as goal-line back over Tuten</t>
        </is>
      </c>
    </row>
    <row r="254">
      <c r="A254" s="3" t="n">
        <v>252</v>
      </c>
      <c r="B254" s="9" t="inlineStr">
        <is>
          <t>RB47</t>
        </is>
      </c>
      <c r="C254" s="5" t="inlineStr">
        <is>
          <t>Woody Marks</t>
        </is>
      </c>
      <c r="D254" s="3" t="inlineStr">
        <is>
          <t>HOU</t>
        </is>
      </c>
      <c r="E254" s="9" t="inlineStr">
        <is>
          <t>RB</t>
        </is>
      </c>
      <c r="F254" s="6" t="n"/>
      <c r="G254" s="6" t="n">
        <v>2.5</v>
      </c>
      <c r="H254" s="6" t="n">
        <v>1.1</v>
      </c>
      <c r="I254" s="6" t="n"/>
      <c r="J254" s="6" t="n"/>
      <c r="K254" s="6" t="n"/>
      <c r="L254" s="6" t="n"/>
      <c r="M254" s="7">
        <f>F254*Settings!$B$4+G254*Settings!$B$5+H254*Settings!$B$6+I254*Settings!$B$7+J254*Settings!$B$8+K254*Settings!$B$9+L254*Settings!$B$10</f>
        <v/>
      </c>
      <c r="N254" s="8">
        <f>M254-INDEX(Settings!$G$4:$G$9,MATCH($E254,Settings!$F$4:$F$9,0))</f>
        <v/>
      </c>
      <c r="O254" s="7">
        <f>N254*INDEX(Settings!$H$4:$H$9,MATCH($E254,Settings!$F$4:$F$9,0))</f>
        <v/>
      </c>
      <c r="P254" s="3" t="inlineStr">
        <is>
          <t>HIGH</t>
        </is>
      </c>
      <c r="Q254" s="5" t="inlineStr"/>
    </row>
    <row r="255">
      <c r="A255" s="3" t="n">
        <v>253</v>
      </c>
      <c r="B255" s="4" t="inlineStr">
        <is>
          <t>QB25</t>
        </is>
      </c>
      <c r="C255" s="5" t="inlineStr">
        <is>
          <t>Aaron Rodgers</t>
        </is>
      </c>
      <c r="D255" s="3" t="inlineStr">
        <is>
          <t>PIT</t>
        </is>
      </c>
      <c r="E255" s="4" t="inlineStr">
        <is>
          <t>QB</t>
        </is>
      </c>
      <c r="F255" s="6" t="n">
        <v>22</v>
      </c>
      <c r="G255" s="6" t="n">
        <v>1</v>
      </c>
      <c r="H255" s="6" t="n"/>
      <c r="I255" s="6" t="n"/>
      <c r="J255" s="6" t="n"/>
      <c r="K255" s="6" t="n"/>
      <c r="L255" s="6" t="n"/>
      <c r="M255" s="7">
        <f>F255*Settings!$B$4+G255*Settings!$B$5+H255*Settings!$B$6+I255*Settings!$B$7+J255*Settings!$B$8+K255*Settings!$B$9+L255*Settings!$B$10</f>
        <v/>
      </c>
      <c r="N255" s="8">
        <f>M255-INDEX(Settings!$G$4:$G$9,MATCH($E255,Settings!$F$4:$F$9,0))</f>
        <v/>
      </c>
      <c r="O255" s="7">
        <f>N255*INDEX(Settings!$H$4:$H$9,MATCH($E255,Settings!$F$4:$F$9,0))</f>
        <v/>
      </c>
      <c r="P255" s="3" t="inlineStr">
        <is>
          <t>MEDIUM</t>
        </is>
      </c>
      <c r="Q255" s="5" t="inlineStr"/>
    </row>
    <row r="256">
      <c r="A256" s="3" t="n">
        <v>254</v>
      </c>
      <c r="B256" s="9" t="inlineStr">
        <is>
          <t>RB48</t>
        </is>
      </c>
      <c r="C256" s="5" t="inlineStr">
        <is>
          <t>Samaje Perine</t>
        </is>
      </c>
      <c r="D256" s="3" t="inlineStr">
        <is>
          <t>CIN</t>
        </is>
      </c>
      <c r="E256" s="9" t="inlineStr">
        <is>
          <t>RB</t>
        </is>
      </c>
      <c r="F256" s="6" t="n"/>
      <c r="G256" s="6" t="n">
        <v>2.6</v>
      </c>
      <c r="H256" s="6" t="n">
        <v>0.8</v>
      </c>
      <c r="I256" s="6" t="n"/>
      <c r="J256" s="6" t="n"/>
      <c r="K256" s="6" t="n"/>
      <c r="L256" s="6" t="n"/>
      <c r="M256" s="7">
        <f>F256*Settings!$B$4+G256*Settings!$B$5+H256*Settings!$B$6+I256*Settings!$B$7+J256*Settings!$B$8+K256*Settings!$B$9+L256*Settings!$B$10</f>
        <v/>
      </c>
      <c r="N256" s="8">
        <f>M256-INDEX(Settings!$G$4:$G$9,MATCH($E256,Settings!$F$4:$F$9,0))</f>
        <v/>
      </c>
      <c r="O256" s="7">
        <f>N256*INDEX(Settings!$H$4:$H$9,MATCH($E256,Settings!$F$4:$F$9,0))</f>
        <v/>
      </c>
      <c r="P256" s="3" t="inlineStr">
        <is>
          <t>HIGH</t>
        </is>
      </c>
      <c r="Q256" s="5" t="inlineStr"/>
    </row>
    <row r="257">
      <c r="A257" s="3" t="n">
        <v>255</v>
      </c>
      <c r="B257" s="9" t="inlineStr">
        <is>
          <t>RB49</t>
        </is>
      </c>
      <c r="C257" s="5" t="inlineStr">
        <is>
          <t>Alvin Kamara</t>
        </is>
      </c>
      <c r="D257" s="3" t="inlineStr">
        <is>
          <t>NO</t>
        </is>
      </c>
      <c r="E257" s="9" t="inlineStr">
        <is>
          <t>RB</t>
        </is>
      </c>
      <c r="F257" s="6" t="n"/>
      <c r="G257" s="6" t="n">
        <v>2</v>
      </c>
      <c r="H257" s="6" t="n">
        <v>1.4</v>
      </c>
      <c r="I257" s="6" t="n"/>
      <c r="J257" s="6" t="n"/>
      <c r="K257" s="6" t="n"/>
      <c r="L257" s="6" t="n"/>
      <c r="M257" s="7">
        <f>F257*Settings!$B$4+G257*Settings!$B$5+H257*Settings!$B$6+I257*Settings!$B$7+J257*Settings!$B$8+K257*Settings!$B$9+L257*Settings!$B$10</f>
        <v/>
      </c>
      <c r="N257" s="8">
        <f>M257-INDEX(Settings!$G$4:$G$9,MATCH($E257,Settings!$F$4:$F$9,0))</f>
        <v/>
      </c>
      <c r="O257" s="7">
        <f>N257*INDEX(Settings!$H$4:$H$9,MATCH($E257,Settings!$F$4:$F$9,0))</f>
        <v/>
      </c>
      <c r="P257" s="3" t="inlineStr">
        <is>
          <t>HIGH</t>
        </is>
      </c>
      <c r="Q257" s="5" t="inlineStr">
        <is>
          <t>Declining</t>
        </is>
      </c>
    </row>
    <row r="258">
      <c r="A258" s="3" t="n">
        <v>256</v>
      </c>
      <c r="B258" s="9" t="inlineStr">
        <is>
          <t>RB50</t>
        </is>
      </c>
      <c r="C258" s="5" t="inlineStr">
        <is>
          <t>Tyler Allgeier</t>
        </is>
      </c>
      <c r="D258" s="3" t="inlineStr">
        <is>
          <t>ARI</t>
        </is>
      </c>
      <c r="E258" s="9" t="inlineStr">
        <is>
          <t>RB</t>
        </is>
      </c>
      <c r="F258" s="6" t="n"/>
      <c r="G258" s="6" t="n">
        <v>3.1</v>
      </c>
      <c r="H258" s="6" t="n">
        <v>0.2</v>
      </c>
      <c r="I258" s="6" t="n"/>
      <c r="J258" s="6" t="n"/>
      <c r="K258" s="6" t="n"/>
      <c r="L258" s="6" t="n"/>
      <c r="M258" s="7">
        <f>F258*Settings!$B$4+G258*Settings!$B$5+H258*Settings!$B$6+I258*Settings!$B$7+J258*Settings!$B$8+K258*Settings!$B$9+L258*Settings!$B$10</f>
        <v/>
      </c>
      <c r="N258" s="8">
        <f>M258-INDEX(Settings!$G$4:$G$9,MATCH($E258,Settings!$F$4:$F$9,0))</f>
        <v/>
      </c>
      <c r="O258" s="7">
        <f>N258*INDEX(Settings!$H$4:$H$9,MATCH($E258,Settings!$F$4:$F$9,0))</f>
        <v/>
      </c>
      <c r="P258" s="3" t="inlineStr">
        <is>
          <t>HIGH</t>
        </is>
      </c>
      <c r="Q258" s="5" t="inlineStr">
        <is>
          <t>Opened camp ahead of rookie Love</t>
        </is>
      </c>
    </row>
    <row r="259">
      <c r="A259" s="3" t="n">
        <v>257</v>
      </c>
      <c r="B259" s="9" t="inlineStr">
        <is>
          <t>RB51</t>
        </is>
      </c>
      <c r="C259" s="5" t="inlineStr">
        <is>
          <t>Tank Bigsby</t>
        </is>
      </c>
      <c r="D259" s="3" t="inlineStr">
        <is>
          <t>PHI</t>
        </is>
      </c>
      <c r="E259" s="9" t="inlineStr">
        <is>
          <t>RB</t>
        </is>
      </c>
      <c r="F259" s="6" t="n"/>
      <c r="G259" s="6" t="n">
        <v>3.2</v>
      </c>
      <c r="H259" s="6" t="n">
        <v>0.1</v>
      </c>
      <c r="I259" s="6" t="n"/>
      <c r="J259" s="6" t="n"/>
      <c r="K259" s="6" t="n"/>
      <c r="L259" s="6" t="n"/>
      <c r="M259" s="7">
        <f>F259*Settings!$B$4+G259*Settings!$B$5+H259*Settings!$B$6+I259*Settings!$B$7+J259*Settings!$B$8+K259*Settings!$B$9+L259*Settings!$B$10</f>
        <v/>
      </c>
      <c r="N259" s="8">
        <f>M259-INDEX(Settings!$G$4:$G$9,MATCH($E259,Settings!$F$4:$F$9,0))</f>
        <v/>
      </c>
      <c r="O259" s="7">
        <f>N259*INDEX(Settings!$H$4:$H$9,MATCH($E259,Settings!$F$4:$F$9,0))</f>
        <v/>
      </c>
      <c r="P259" s="3" t="inlineStr">
        <is>
          <t>HIGH</t>
        </is>
      </c>
      <c r="Q259" s="5" t="inlineStr"/>
    </row>
    <row r="260">
      <c r="A260" s="3" t="n">
        <v>258</v>
      </c>
      <c r="B260" s="9" t="inlineStr">
        <is>
          <t>RB52</t>
        </is>
      </c>
      <c r="C260" s="5" t="inlineStr">
        <is>
          <t>Ty Johnson</t>
        </is>
      </c>
      <c r="D260" s="3" t="inlineStr">
        <is>
          <t>BUF</t>
        </is>
      </c>
      <c r="E260" s="9" t="inlineStr">
        <is>
          <t>RB</t>
        </is>
      </c>
      <c r="F260" s="6" t="n"/>
      <c r="G260" s="6" t="n">
        <v>1.6</v>
      </c>
      <c r="H260" s="6" t="n">
        <v>1.6</v>
      </c>
      <c r="I260" s="6" t="n"/>
      <c r="J260" s="6" t="n"/>
      <c r="K260" s="6" t="n"/>
      <c r="L260" s="6" t="n"/>
      <c r="M260" s="7">
        <f>F260*Settings!$B$4+G260*Settings!$B$5+H260*Settings!$B$6+I260*Settings!$B$7+J260*Settings!$B$8+K260*Settings!$B$9+L260*Settings!$B$10</f>
        <v/>
      </c>
      <c r="N260" s="8">
        <f>M260-INDEX(Settings!$G$4:$G$9,MATCH($E260,Settings!$F$4:$F$9,0))</f>
        <v/>
      </c>
      <c r="O260" s="7">
        <f>N260*INDEX(Settings!$H$4:$H$9,MATCH($E260,Settings!$F$4:$F$9,0))</f>
        <v/>
      </c>
      <c r="P260" s="3" t="inlineStr">
        <is>
          <t>HIGH</t>
        </is>
      </c>
      <c r="Q260" s="5" t="inlineStr"/>
    </row>
    <row r="261">
      <c r="A261" s="3" t="n">
        <v>259</v>
      </c>
      <c r="B261" s="9" t="inlineStr">
        <is>
          <t>RB53</t>
        </is>
      </c>
      <c r="C261" s="5" t="inlineStr">
        <is>
          <t>MarShawn Lloyd</t>
        </is>
      </c>
      <c r="D261" s="3" t="inlineStr">
        <is>
          <t>GB</t>
        </is>
      </c>
      <c r="E261" s="9" t="inlineStr">
        <is>
          <t>RB</t>
        </is>
      </c>
      <c r="F261" s="6" t="n"/>
      <c r="G261" s="6" t="n">
        <v>2.9</v>
      </c>
      <c r="H261" s="6" t="n">
        <v>0.3</v>
      </c>
      <c r="I261" s="6" t="n"/>
      <c r="J261" s="6" t="n"/>
      <c r="K261" s="6" t="n"/>
      <c r="L261" s="6" t="n"/>
      <c r="M261" s="7">
        <f>F261*Settings!$B$4+G261*Settings!$B$5+H261*Settings!$B$6+I261*Settings!$B$7+J261*Settings!$B$8+K261*Settings!$B$9+L261*Settings!$B$10</f>
        <v/>
      </c>
      <c r="N261" s="8">
        <f>M261-INDEX(Settings!$G$4:$G$9,MATCH($E261,Settings!$F$4:$F$9,0))</f>
        <v/>
      </c>
      <c r="O261" s="7">
        <f>N261*INDEX(Settings!$H$4:$H$9,MATCH($E261,Settings!$F$4:$F$9,0))</f>
        <v/>
      </c>
      <c r="P261" s="3" t="inlineStr">
        <is>
          <t>HIGH</t>
        </is>
      </c>
      <c r="Q261" s="5" t="inlineStr"/>
    </row>
    <row r="262">
      <c r="A262" s="3" t="n">
        <v>260</v>
      </c>
      <c r="B262" s="9" t="inlineStr">
        <is>
          <t>RB54</t>
        </is>
      </c>
      <c r="C262" s="5" t="inlineStr">
        <is>
          <t>Braelon Allen</t>
        </is>
      </c>
      <c r="D262" s="3" t="inlineStr">
        <is>
          <t>NYJ</t>
        </is>
      </c>
      <c r="E262" s="9" t="inlineStr">
        <is>
          <t>RB</t>
        </is>
      </c>
      <c r="F262" s="6" t="n"/>
      <c r="G262" s="6" t="n">
        <v>3</v>
      </c>
      <c r="H262" s="6" t="n">
        <v>0.2</v>
      </c>
      <c r="I262" s="6" t="n"/>
      <c r="J262" s="6" t="n"/>
      <c r="K262" s="6" t="n"/>
      <c r="L262" s="6" t="n"/>
      <c r="M262" s="7">
        <f>F262*Settings!$B$4+G262*Settings!$B$5+H262*Settings!$B$6+I262*Settings!$B$7+J262*Settings!$B$8+K262*Settings!$B$9+L262*Settings!$B$10</f>
        <v/>
      </c>
      <c r="N262" s="8">
        <f>M262-INDEX(Settings!$G$4:$G$9,MATCH($E262,Settings!$F$4:$F$9,0))</f>
        <v/>
      </c>
      <c r="O262" s="7">
        <f>N262*INDEX(Settings!$H$4:$H$9,MATCH($E262,Settings!$F$4:$F$9,0))</f>
        <v/>
      </c>
      <c r="P262" s="3" t="inlineStr">
        <is>
          <t>HIGH</t>
        </is>
      </c>
      <c r="Q262" s="5" t="inlineStr"/>
    </row>
    <row r="263">
      <c r="A263" s="3" t="n">
        <v>261</v>
      </c>
      <c r="B263" s="9" t="inlineStr">
        <is>
          <t>RB55</t>
        </is>
      </c>
      <c r="C263" s="5" t="inlineStr">
        <is>
          <t>Keaton Mitchell</t>
        </is>
      </c>
      <c r="D263" s="3" t="inlineStr">
        <is>
          <t>LAC</t>
        </is>
      </c>
      <c r="E263" s="9" t="inlineStr">
        <is>
          <t>RB</t>
        </is>
      </c>
      <c r="F263" s="6" t="n"/>
      <c r="G263" s="6" t="n">
        <v>2.2</v>
      </c>
      <c r="H263" s="6" t="n">
        <v>0.9</v>
      </c>
      <c r="I263" s="6" t="n"/>
      <c r="J263" s="6" t="n"/>
      <c r="K263" s="6" t="n"/>
      <c r="L263" s="6" t="n"/>
      <c r="M263" s="7">
        <f>F263*Settings!$B$4+G263*Settings!$B$5+H263*Settings!$B$6+I263*Settings!$B$7+J263*Settings!$B$8+K263*Settings!$B$9+L263*Settings!$B$10</f>
        <v/>
      </c>
      <c r="N263" s="8">
        <f>M263-INDEX(Settings!$G$4:$G$9,MATCH($E263,Settings!$F$4:$F$9,0))</f>
        <v/>
      </c>
      <c r="O263" s="7">
        <f>N263*INDEX(Settings!$H$4:$H$9,MATCH($E263,Settings!$F$4:$F$9,0))</f>
        <v/>
      </c>
      <c r="P263" s="3" t="inlineStr">
        <is>
          <t>HIGH</t>
        </is>
      </c>
      <c r="Q263" s="5" t="inlineStr"/>
    </row>
    <row r="264">
      <c r="A264" s="3" t="n">
        <v>262</v>
      </c>
      <c r="B264" s="9" t="inlineStr">
        <is>
          <t>RB56</t>
        </is>
      </c>
      <c r="C264" s="5" t="inlineStr">
        <is>
          <t>Justice Hill</t>
        </is>
      </c>
      <c r="D264" s="3" t="inlineStr">
        <is>
          <t>BAL</t>
        </is>
      </c>
      <c r="E264" s="9" t="inlineStr">
        <is>
          <t>RB</t>
        </is>
      </c>
      <c r="F264" s="6" t="n"/>
      <c r="G264" s="6" t="n">
        <v>1.7</v>
      </c>
      <c r="H264" s="6" t="n">
        <v>1.4</v>
      </c>
      <c r="I264" s="6" t="n"/>
      <c r="J264" s="6" t="n"/>
      <c r="K264" s="6" t="n"/>
      <c r="L264" s="6" t="n"/>
      <c r="M264" s="7">
        <f>F264*Settings!$B$4+G264*Settings!$B$5+H264*Settings!$B$6+I264*Settings!$B$7+J264*Settings!$B$8+K264*Settings!$B$9+L264*Settings!$B$10</f>
        <v/>
      </c>
      <c r="N264" s="8">
        <f>M264-INDEX(Settings!$G$4:$G$9,MATCH($E264,Settings!$F$4:$F$9,0))</f>
        <v/>
      </c>
      <c r="O264" s="7">
        <f>N264*INDEX(Settings!$H$4:$H$9,MATCH($E264,Settings!$F$4:$F$9,0))</f>
        <v/>
      </c>
      <c r="P264" s="3" t="inlineStr">
        <is>
          <t>HIGH</t>
        </is>
      </c>
      <c r="Q264" s="5" t="inlineStr"/>
    </row>
    <row r="265">
      <c r="A265" s="3" t="n">
        <v>263</v>
      </c>
      <c r="B265" s="9" t="inlineStr">
        <is>
          <t>RB57</t>
        </is>
      </c>
      <c r="C265" s="5" t="inlineStr">
        <is>
          <t>Sean Tucker</t>
        </is>
      </c>
      <c r="D265" s="3" t="inlineStr">
        <is>
          <t>TB</t>
        </is>
      </c>
      <c r="E265" s="9" t="inlineStr">
        <is>
          <t>RB</t>
        </is>
      </c>
      <c r="F265" s="6" t="n"/>
      <c r="G265" s="6" t="n">
        <v>2.7</v>
      </c>
      <c r="H265" s="6" t="n">
        <v>0.1</v>
      </c>
      <c r="I265" s="6" t="n"/>
      <c r="J265" s="6" t="n"/>
      <c r="K265" s="6" t="n"/>
      <c r="L265" s="6" t="n"/>
      <c r="M265" s="7">
        <f>F265*Settings!$B$4+G265*Settings!$B$5+H265*Settings!$B$6+I265*Settings!$B$7+J265*Settings!$B$8+K265*Settings!$B$9+L265*Settings!$B$10</f>
        <v/>
      </c>
      <c r="N265" s="8">
        <f>M265-INDEX(Settings!$G$4:$G$9,MATCH($E265,Settings!$F$4:$F$9,0))</f>
        <v/>
      </c>
      <c r="O265" s="7">
        <f>N265*INDEX(Settings!$H$4:$H$9,MATCH($E265,Settings!$F$4:$F$9,0))</f>
        <v/>
      </c>
      <c r="P265" s="3" t="inlineStr">
        <is>
          <t>LOW</t>
        </is>
      </c>
      <c r="Q265" s="5" t="inlineStr">
        <is>
          <t>BIGGEST SLEEPER: owns TB goal line; scored 8 TD in 2025 6 in final 8 games; projection is a volume artifact</t>
        </is>
      </c>
    </row>
    <row r="266">
      <c r="A266" s="3" t="n">
        <v>264</v>
      </c>
      <c r="B266" s="9" t="inlineStr">
        <is>
          <t>RB58</t>
        </is>
      </c>
      <c r="C266" s="5" t="inlineStr">
        <is>
          <t>Dylan Sampson</t>
        </is>
      </c>
      <c r="D266" s="3" t="inlineStr">
        <is>
          <t>CLE</t>
        </is>
      </c>
      <c r="E266" s="9" t="inlineStr">
        <is>
          <t>RB</t>
        </is>
      </c>
      <c r="F266" s="6" t="n"/>
      <c r="G266" s="6" t="n">
        <v>1.1</v>
      </c>
      <c r="H266" s="6" t="n">
        <v>1.6</v>
      </c>
      <c r="I266" s="6" t="n"/>
      <c r="J266" s="6" t="n"/>
      <c r="K266" s="6" t="n"/>
      <c r="L266" s="6" t="n"/>
      <c r="M266" s="7">
        <f>F266*Settings!$B$4+G266*Settings!$B$5+H266*Settings!$B$6+I266*Settings!$B$7+J266*Settings!$B$8+K266*Settings!$B$9+L266*Settings!$B$10</f>
        <v/>
      </c>
      <c r="N266" s="8">
        <f>M266-INDEX(Settings!$G$4:$G$9,MATCH($E266,Settings!$F$4:$F$9,0))</f>
        <v/>
      </c>
      <c r="O266" s="7">
        <f>N266*INDEX(Settings!$H$4:$H$9,MATCH($E266,Settings!$F$4:$F$9,0))</f>
        <v/>
      </c>
      <c r="P266" s="3" t="inlineStr">
        <is>
          <t>HIGH</t>
        </is>
      </c>
      <c r="Q266" s="5" t="inlineStr"/>
    </row>
    <row r="267">
      <c r="A267" s="3" t="n">
        <v>265</v>
      </c>
      <c r="B267" s="4" t="inlineStr">
        <is>
          <t>QB26</t>
        </is>
      </c>
      <c r="C267" s="5" t="inlineStr">
        <is>
          <t>Geno Smith</t>
        </is>
      </c>
      <c r="D267" s="3" t="inlineStr">
        <is>
          <t>NYJ</t>
        </is>
      </c>
      <c r="E267" s="4" t="inlineStr">
        <is>
          <t>QB</t>
        </is>
      </c>
      <c r="F267" s="6" t="n">
        <v>19.5</v>
      </c>
      <c r="G267" s="6" t="n">
        <v>1.5</v>
      </c>
      <c r="H267" s="6" t="n"/>
      <c r="I267" s="6" t="n"/>
      <c r="J267" s="6" t="n"/>
      <c r="K267" s="6" t="n"/>
      <c r="L267" s="6" t="n"/>
      <c r="M267" s="7">
        <f>F267*Settings!$B$4+G267*Settings!$B$5+H267*Settings!$B$6+I267*Settings!$B$7+J267*Settings!$B$8+K267*Settings!$B$9+L267*Settings!$B$10</f>
        <v/>
      </c>
      <c r="N267" s="8">
        <f>M267-INDEX(Settings!$G$4:$G$9,MATCH($E267,Settings!$F$4:$F$9,0))</f>
        <v/>
      </c>
      <c r="O267" s="7">
        <f>N267*INDEX(Settings!$H$4:$H$9,MATCH($E267,Settings!$F$4:$F$9,0))</f>
        <v/>
      </c>
      <c r="P267" s="3" t="inlineStr">
        <is>
          <t>MEDIUM</t>
        </is>
      </c>
      <c r="Q267" s="5" t="inlineStr">
        <is>
          <t>NYJ lowest implied total 18.4</t>
        </is>
      </c>
    </row>
    <row r="268">
      <c r="A268" s="3" t="n">
        <v>266</v>
      </c>
      <c r="B268" s="9" t="inlineStr">
        <is>
          <t>RB59</t>
        </is>
      </c>
      <c r="C268" s="5" t="inlineStr">
        <is>
          <t>Jonah Coleman</t>
        </is>
      </c>
      <c r="D268" s="3" t="inlineStr">
        <is>
          <t>DEN</t>
        </is>
      </c>
      <c r="E268" s="9" t="inlineStr">
        <is>
          <t>RB</t>
        </is>
      </c>
      <c r="F268" s="6" t="n"/>
      <c r="G268" s="6" t="n">
        <v>2</v>
      </c>
      <c r="H268" s="6" t="n">
        <v>0.4</v>
      </c>
      <c r="I268" s="6" t="n"/>
      <c r="J268" s="6" t="n"/>
      <c r="K268" s="6" t="n"/>
      <c r="L268" s="6" t="n"/>
      <c r="M268" s="7">
        <f>F268*Settings!$B$4+G268*Settings!$B$5+H268*Settings!$B$6+I268*Settings!$B$7+J268*Settings!$B$8+K268*Settings!$B$9+L268*Settings!$B$10</f>
        <v/>
      </c>
      <c r="N268" s="8">
        <f>M268-INDEX(Settings!$G$4:$G$9,MATCH($E268,Settings!$F$4:$F$9,0))</f>
        <v/>
      </c>
      <c r="O268" s="7">
        <f>N268*INDEX(Settings!$H$4:$H$9,MATCH($E268,Settings!$F$4:$F$9,0))</f>
        <v/>
      </c>
      <c r="P268" s="3" t="inlineStr">
        <is>
          <t>HIGH</t>
        </is>
      </c>
      <c r="Q268" s="5" t="inlineStr">
        <is>
          <t>Rookie GL insurance</t>
        </is>
      </c>
    </row>
    <row r="269">
      <c r="A269" s="3" t="n">
        <v>267</v>
      </c>
      <c r="B269" s="4" t="inlineStr">
        <is>
          <t>QB27</t>
        </is>
      </c>
      <c r="C269" s="5" t="inlineStr">
        <is>
          <t>Malik Willis</t>
        </is>
      </c>
      <c r="D269" s="3" t="inlineStr">
        <is>
          <t>MIA</t>
        </is>
      </c>
      <c r="E269" s="4" t="inlineStr">
        <is>
          <t>QB</t>
        </is>
      </c>
      <c r="F269" s="6" t="n">
        <v>14</v>
      </c>
      <c r="G269" s="6" t="n">
        <v>4</v>
      </c>
      <c r="H269" s="6" t="n"/>
      <c r="I269" s="6" t="n"/>
      <c r="J269" s="6" t="n"/>
      <c r="K269" s="6" t="n"/>
      <c r="L269" s="6" t="n"/>
      <c r="M269" s="7">
        <f>F269*Settings!$B$4+G269*Settings!$B$5+H269*Settings!$B$6+I269*Settings!$B$7+J269*Settings!$B$8+K269*Settings!$B$9+L269*Settings!$B$10</f>
        <v/>
      </c>
      <c r="N269" s="8">
        <f>M269-INDEX(Settings!$G$4:$G$9,MATCH($E269,Settings!$F$4:$F$9,0))</f>
        <v/>
      </c>
      <c r="O269" s="7">
        <f>N269*INDEX(Settings!$H$4:$H$9,MATCH($E269,Settings!$F$4:$F$9,0))</f>
        <v/>
      </c>
      <c r="P269" s="3" t="inlineStr">
        <is>
          <t>LOW</t>
        </is>
      </c>
      <c r="Q269" s="5" t="inlineStr">
        <is>
          <t>LOTTERY TICKET: Yahoo proj 7 rush TD Razzball 2.8</t>
        </is>
      </c>
    </row>
    <row r="270">
      <c r="A270" s="3" t="n">
        <v>268</v>
      </c>
      <c r="B270" s="9" t="inlineStr">
        <is>
          <t>RB60</t>
        </is>
      </c>
      <c r="C270" s="5" t="inlineStr">
        <is>
          <t>Ray Davis</t>
        </is>
      </c>
      <c r="D270" s="3" t="inlineStr">
        <is>
          <t>BUF</t>
        </is>
      </c>
      <c r="E270" s="9" t="inlineStr">
        <is>
          <t>RB</t>
        </is>
      </c>
      <c r="F270" s="6" t="n"/>
      <c r="G270" s="6" t="n">
        <v>1.6</v>
      </c>
      <c r="H270" s="6" t="n">
        <v>0.7</v>
      </c>
      <c r="I270" s="6" t="n"/>
      <c r="J270" s="6" t="n"/>
      <c r="K270" s="6" t="n"/>
      <c r="L270" s="6" t="n"/>
      <c r="M270" s="7">
        <f>F270*Settings!$B$4+G270*Settings!$B$5+H270*Settings!$B$6+I270*Settings!$B$7+J270*Settings!$B$8+K270*Settings!$B$9+L270*Settings!$B$10</f>
        <v/>
      </c>
      <c r="N270" s="8">
        <f>M270-INDEX(Settings!$G$4:$G$9,MATCH($E270,Settings!$F$4:$F$9,0))</f>
        <v/>
      </c>
      <c r="O270" s="7">
        <f>N270*INDEX(Settings!$H$4:$H$9,MATCH($E270,Settings!$F$4:$F$9,0))</f>
        <v/>
      </c>
      <c r="P270" s="3" t="inlineStr">
        <is>
          <t>HIGH</t>
        </is>
      </c>
      <c r="Q270" s="5" t="inlineStr"/>
    </row>
    <row r="271">
      <c r="A271" s="3" t="n">
        <v>269</v>
      </c>
      <c r="B271" s="9" t="inlineStr">
        <is>
          <t>RB61</t>
        </is>
      </c>
      <c r="C271" s="5" t="inlineStr">
        <is>
          <t>Najee Harris</t>
        </is>
      </c>
      <c r="D271" s="3" t="inlineStr">
        <is>
          <t>NYG</t>
        </is>
      </c>
      <c r="E271" s="9" t="inlineStr">
        <is>
          <t>RB</t>
        </is>
      </c>
      <c r="F271" s="6" t="n"/>
      <c r="G271" s="6" t="n">
        <v>2.1</v>
      </c>
      <c r="H271" s="6" t="n">
        <v>0.2</v>
      </c>
      <c r="I271" s="6" t="n"/>
      <c r="J271" s="6" t="n"/>
      <c r="K271" s="6" t="n"/>
      <c r="L271" s="6" t="n"/>
      <c r="M271" s="7">
        <f>F271*Settings!$B$4+G271*Settings!$B$5+H271*Settings!$B$6+I271*Settings!$B$7+J271*Settings!$B$8+K271*Settings!$B$9+L271*Settings!$B$10</f>
        <v/>
      </c>
      <c r="N271" s="8">
        <f>M271-INDEX(Settings!$G$4:$G$9,MATCH($E271,Settings!$F$4:$F$9,0))</f>
        <v/>
      </c>
      <c r="O271" s="7">
        <f>N271*INDEX(Settings!$H$4:$H$9,MATCH($E271,Settings!$F$4:$F$9,0))</f>
        <v/>
      </c>
      <c r="P271" s="3" t="inlineStr">
        <is>
          <t>HIGH</t>
        </is>
      </c>
      <c r="Q271" s="5" t="inlineStr">
        <is>
          <t>Signed to NYG</t>
        </is>
      </c>
    </row>
    <row r="272">
      <c r="A272" s="3" t="n">
        <v>270</v>
      </c>
      <c r="B272" s="9" t="inlineStr">
        <is>
          <t>RB62</t>
        </is>
      </c>
      <c r="C272" s="5" t="inlineStr">
        <is>
          <t>Mike Washington Jr.</t>
        </is>
      </c>
      <c r="D272" s="3" t="inlineStr">
        <is>
          <t>LV</t>
        </is>
      </c>
      <c r="E272" s="9" t="inlineStr">
        <is>
          <t>RB</t>
        </is>
      </c>
      <c r="F272" s="6" t="n"/>
      <c r="G272" s="6" t="n">
        <v>2.1</v>
      </c>
      <c r="H272" s="6" t="n">
        <v>0.1</v>
      </c>
      <c r="I272" s="6" t="n"/>
      <c r="J272" s="6" t="n"/>
      <c r="K272" s="6" t="n"/>
      <c r="L272" s="6" t="n"/>
      <c r="M272" s="7">
        <f>F272*Settings!$B$4+G272*Settings!$B$5+H272*Settings!$B$6+I272*Settings!$B$7+J272*Settings!$B$8+K272*Settings!$B$9+L272*Settings!$B$10</f>
        <v/>
      </c>
      <c r="N272" s="8">
        <f>M272-INDEX(Settings!$G$4:$G$9,MATCH($E272,Settings!$F$4:$F$9,0))</f>
        <v/>
      </c>
      <c r="O272" s="7">
        <f>N272*INDEX(Settings!$H$4:$H$9,MATCH($E272,Settings!$F$4:$F$9,0))</f>
        <v/>
      </c>
      <c r="P272" s="3" t="inlineStr">
        <is>
          <t>HIGH</t>
        </is>
      </c>
      <c r="Q272" s="5" t="inlineStr">
        <is>
          <t>Rookie backup to Jeanty</t>
        </is>
      </c>
    </row>
    <row r="273">
      <c r="A273" s="3" t="n">
        <v>271</v>
      </c>
      <c r="B273" s="4" t="inlineStr">
        <is>
          <t>QB28</t>
        </is>
      </c>
      <c r="C273" s="5" t="inlineStr">
        <is>
          <t>Cam Ward</t>
        </is>
      </c>
      <c r="D273" s="3" t="inlineStr">
        <is>
          <t>TEN</t>
        </is>
      </c>
      <c r="E273" s="4" t="inlineStr">
        <is>
          <t>QB</t>
        </is>
      </c>
      <c r="F273" s="6" t="n">
        <v>18.5</v>
      </c>
      <c r="G273" s="6" t="n">
        <v>1.5</v>
      </c>
      <c r="H273" s="6" t="n"/>
      <c r="I273" s="6" t="n"/>
      <c r="J273" s="6" t="n"/>
      <c r="K273" s="6" t="n"/>
      <c r="L273" s="6" t="n"/>
      <c r="M273" s="7">
        <f>F273*Settings!$B$4+G273*Settings!$B$5+H273*Settings!$B$6+I273*Settings!$B$7+J273*Settings!$B$8+K273*Settings!$B$9+L273*Settings!$B$10</f>
        <v/>
      </c>
      <c r="N273" s="8">
        <f>M273-INDEX(Settings!$G$4:$G$9,MATCH($E273,Settings!$F$4:$F$9,0))</f>
        <v/>
      </c>
      <c r="O273" s="7">
        <f>N273*INDEX(Settings!$H$4:$H$9,MATCH($E273,Settings!$F$4:$F$9,0))</f>
        <v/>
      </c>
      <c r="P273" s="3" t="inlineStr">
        <is>
          <t>MEDIUM</t>
        </is>
      </c>
      <c r="Q273" s="5" t="inlineStr"/>
    </row>
    <row r="274">
      <c r="A274" s="3" t="n">
        <v>272</v>
      </c>
      <c r="B274" s="9" t="inlineStr">
        <is>
          <t>RB63</t>
        </is>
      </c>
      <c r="C274" s="5" t="inlineStr">
        <is>
          <t>George Holani</t>
        </is>
      </c>
      <c r="D274" s="3" t="inlineStr">
        <is>
          <t>SEA</t>
        </is>
      </c>
      <c r="E274" s="9" t="inlineStr">
        <is>
          <t>RB</t>
        </is>
      </c>
      <c r="F274" s="6" t="n"/>
      <c r="G274" s="6" t="n">
        <v>1.8</v>
      </c>
      <c r="H274" s="6" t="n">
        <v>0.1</v>
      </c>
      <c r="I274" s="6" t="n"/>
      <c r="J274" s="6" t="n"/>
      <c r="K274" s="6" t="n"/>
      <c r="L274" s="6" t="n"/>
      <c r="M274" s="7">
        <f>F274*Settings!$B$4+G274*Settings!$B$5+H274*Settings!$B$6+I274*Settings!$B$7+J274*Settings!$B$8+K274*Settings!$B$9+L274*Settings!$B$10</f>
        <v/>
      </c>
      <c r="N274" s="8">
        <f>M274-INDEX(Settings!$G$4:$G$9,MATCH($E274,Settings!$F$4:$F$9,0))</f>
        <v/>
      </c>
      <c r="O274" s="7">
        <f>N274*INDEX(Settings!$H$4:$H$9,MATCH($E274,Settings!$F$4:$F$9,0))</f>
        <v/>
      </c>
      <c r="P274" s="3" t="inlineStr">
        <is>
          <t>HIGH</t>
        </is>
      </c>
      <c r="Q274" s="5" t="inlineStr"/>
    </row>
    <row r="275">
      <c r="A275" s="3" t="n">
        <v>273</v>
      </c>
      <c r="B275" s="9" t="inlineStr">
        <is>
          <t>RB64</t>
        </is>
      </c>
      <c r="C275" s="5" t="inlineStr">
        <is>
          <t>Tyrone Tracy Jr.</t>
        </is>
      </c>
      <c r="D275" s="3" t="inlineStr">
        <is>
          <t>NYG</t>
        </is>
      </c>
      <c r="E275" s="9" t="inlineStr">
        <is>
          <t>RB</t>
        </is>
      </c>
      <c r="F275" s="6" t="n"/>
      <c r="G275" s="6" t="n">
        <v>1.2</v>
      </c>
      <c r="H275" s="6" t="n">
        <v>0.7</v>
      </c>
      <c r="I275" s="6" t="n"/>
      <c r="J275" s="6" t="n"/>
      <c r="K275" s="6" t="n"/>
      <c r="L275" s="6" t="n"/>
      <c r="M275" s="7">
        <f>F275*Settings!$B$4+G275*Settings!$B$5+H275*Settings!$B$6+I275*Settings!$B$7+J275*Settings!$B$8+K275*Settings!$B$9+L275*Settings!$B$10</f>
        <v/>
      </c>
      <c r="N275" s="8">
        <f>M275-INDEX(Settings!$G$4:$G$9,MATCH($E275,Settings!$F$4:$F$9,0))</f>
        <v/>
      </c>
      <c r="O275" s="7">
        <f>N275*INDEX(Settings!$H$4:$H$9,MATCH($E275,Settings!$F$4:$F$9,0))</f>
        <v/>
      </c>
      <c r="P275" s="3" t="inlineStr">
        <is>
          <t>HIGH</t>
        </is>
      </c>
      <c r="Q275" s="5" t="inlineStr"/>
    </row>
    <row r="276">
      <c r="A276" s="3" t="n">
        <v>274</v>
      </c>
      <c r="B276" s="9" t="inlineStr">
        <is>
          <t>RB65</t>
        </is>
      </c>
      <c r="C276" s="5" t="inlineStr">
        <is>
          <t>Kaelon Black</t>
        </is>
      </c>
      <c r="D276" s="3" t="inlineStr">
        <is>
          <t>SF</t>
        </is>
      </c>
      <c r="E276" s="9" t="inlineStr">
        <is>
          <t>RB</t>
        </is>
      </c>
      <c r="F276" s="6" t="n"/>
      <c r="G276" s="6" t="n">
        <v>1.6</v>
      </c>
      <c r="H276" s="6" t="n">
        <v>0.2</v>
      </c>
      <c r="I276" s="6" t="n"/>
      <c r="J276" s="6" t="n"/>
      <c r="K276" s="6" t="n"/>
      <c r="L276" s="6" t="n"/>
      <c r="M276" s="7">
        <f>F276*Settings!$B$4+G276*Settings!$B$5+H276*Settings!$B$6+I276*Settings!$B$7+J276*Settings!$B$8+K276*Settings!$B$9+L276*Settings!$B$10</f>
        <v/>
      </c>
      <c r="N276" s="8">
        <f>M276-INDEX(Settings!$G$4:$G$9,MATCH($E276,Settings!$F$4:$F$9,0))</f>
        <v/>
      </c>
      <c r="O276" s="7">
        <f>N276*INDEX(Settings!$H$4:$H$9,MATCH($E276,Settings!$F$4:$F$9,0))</f>
        <v/>
      </c>
      <c r="P276" s="3" t="inlineStr">
        <is>
          <t>HIGH</t>
        </is>
      </c>
      <c r="Q276" s="5" t="inlineStr">
        <is>
          <t>Rookie</t>
        </is>
      </c>
    </row>
    <row r="277">
      <c r="A277" s="3" t="n">
        <v>275</v>
      </c>
      <c r="B277" s="9" t="inlineStr">
        <is>
          <t>RB66</t>
        </is>
      </c>
      <c r="C277" s="5" t="inlineStr">
        <is>
          <t>Kimani Vidal</t>
        </is>
      </c>
      <c r="D277" s="3" t="inlineStr">
        <is>
          <t>LAC</t>
        </is>
      </c>
      <c r="E277" s="9" t="inlineStr">
        <is>
          <t>RB</t>
        </is>
      </c>
      <c r="F277" s="6" t="n"/>
      <c r="G277" s="6" t="n">
        <v>1.6</v>
      </c>
      <c r="H277" s="6" t="n">
        <v>0.2</v>
      </c>
      <c r="I277" s="6" t="n"/>
      <c r="J277" s="6" t="n"/>
      <c r="K277" s="6" t="n"/>
      <c r="L277" s="6" t="n"/>
      <c r="M277" s="7">
        <f>F277*Settings!$B$4+G277*Settings!$B$5+H277*Settings!$B$6+I277*Settings!$B$7+J277*Settings!$B$8+K277*Settings!$B$9+L277*Settings!$B$10</f>
        <v/>
      </c>
      <c r="N277" s="8">
        <f>M277-INDEX(Settings!$G$4:$G$9,MATCH($E277,Settings!$F$4:$F$9,0))</f>
        <v/>
      </c>
      <c r="O277" s="7">
        <f>N277*INDEX(Settings!$H$4:$H$9,MATCH($E277,Settings!$F$4:$F$9,0))</f>
        <v/>
      </c>
      <c r="P277" s="3" t="inlineStr">
        <is>
          <t>HIGH</t>
        </is>
      </c>
      <c r="Q277" s="5" t="inlineStr"/>
    </row>
    <row r="278">
      <c r="A278" s="3" t="n">
        <v>276</v>
      </c>
      <c r="B278" s="9" t="inlineStr">
        <is>
          <t>RB67</t>
        </is>
      </c>
      <c r="C278" s="5" t="inlineStr">
        <is>
          <t>Jaydon Blue</t>
        </is>
      </c>
      <c r="D278" s="3" t="inlineStr">
        <is>
          <t>DAL</t>
        </is>
      </c>
      <c r="E278" s="9" t="inlineStr">
        <is>
          <t>RB</t>
        </is>
      </c>
      <c r="F278" s="6" t="n"/>
      <c r="G278" s="6" t="n">
        <v>1.5</v>
      </c>
      <c r="H278" s="6" t="n">
        <v>0.2</v>
      </c>
      <c r="I278" s="6" t="n"/>
      <c r="J278" s="6" t="n"/>
      <c r="K278" s="6" t="n"/>
      <c r="L278" s="6" t="n"/>
      <c r="M278" s="7">
        <f>F278*Settings!$B$4+G278*Settings!$B$5+H278*Settings!$B$6+I278*Settings!$B$7+J278*Settings!$B$8+K278*Settings!$B$9+L278*Settings!$B$10</f>
        <v/>
      </c>
      <c r="N278" s="8">
        <f>M278-INDEX(Settings!$G$4:$G$9,MATCH($E278,Settings!$F$4:$F$9,0))</f>
        <v/>
      </c>
      <c r="O278" s="7">
        <f>N278*INDEX(Settings!$H$4:$H$9,MATCH($E278,Settings!$F$4:$F$9,0))</f>
        <v/>
      </c>
      <c r="P278" s="3" t="inlineStr">
        <is>
          <t>HIGH</t>
        </is>
      </c>
      <c r="Q278" s="5" t="inlineStr"/>
    </row>
    <row r="279">
      <c r="A279" s="3" t="n">
        <v>277</v>
      </c>
      <c r="B279" s="9" t="inlineStr">
        <is>
          <t>RB68</t>
        </is>
      </c>
      <c r="C279" s="5" t="inlineStr">
        <is>
          <t>Jaylen Wright</t>
        </is>
      </c>
      <c r="D279" s="3" t="inlineStr">
        <is>
          <t>MIA</t>
        </is>
      </c>
      <c r="E279" s="9" t="inlineStr">
        <is>
          <t>RB</t>
        </is>
      </c>
      <c r="F279" s="6" t="n"/>
      <c r="G279" s="6" t="n">
        <v>1.6</v>
      </c>
      <c r="H279" s="6" t="n">
        <v>0.1</v>
      </c>
      <c r="I279" s="6" t="n"/>
      <c r="J279" s="6" t="n"/>
      <c r="K279" s="6" t="n"/>
      <c r="L279" s="6" t="n"/>
      <c r="M279" s="7">
        <f>F279*Settings!$B$4+G279*Settings!$B$5+H279*Settings!$B$6+I279*Settings!$B$7+J279*Settings!$B$8+K279*Settings!$B$9+L279*Settings!$B$10</f>
        <v/>
      </c>
      <c r="N279" s="8">
        <f>M279-INDEX(Settings!$G$4:$G$9,MATCH($E279,Settings!$F$4:$F$9,0))</f>
        <v/>
      </c>
      <c r="O279" s="7">
        <f>N279*INDEX(Settings!$H$4:$H$9,MATCH($E279,Settings!$F$4:$F$9,0))</f>
        <v/>
      </c>
      <c r="P279" s="3" t="inlineStr">
        <is>
          <t>HIGH</t>
        </is>
      </c>
      <c r="Q279" s="5" t="inlineStr"/>
    </row>
    <row r="280">
      <c r="A280" s="3" t="n">
        <v>278</v>
      </c>
      <c r="B280" s="9" t="inlineStr">
        <is>
          <t>RB69</t>
        </is>
      </c>
      <c r="C280" s="5" t="inlineStr">
        <is>
          <t>Emmett Johnson</t>
        </is>
      </c>
      <c r="D280" s="3" t="inlineStr">
        <is>
          <t>KC</t>
        </is>
      </c>
      <c r="E280" s="9" t="inlineStr">
        <is>
          <t>RB</t>
        </is>
      </c>
      <c r="F280" s="6" t="n"/>
      <c r="G280" s="6" t="n">
        <v>1.3</v>
      </c>
      <c r="H280" s="6" t="n">
        <v>0.2</v>
      </c>
      <c r="I280" s="6" t="n"/>
      <c r="J280" s="6" t="n"/>
      <c r="K280" s="6" t="n"/>
      <c r="L280" s="6" t="n"/>
      <c r="M280" s="7">
        <f>F280*Settings!$B$4+G280*Settings!$B$5+H280*Settings!$B$6+I280*Settings!$B$7+J280*Settings!$B$8+K280*Settings!$B$9+L280*Settings!$B$10</f>
        <v/>
      </c>
      <c r="N280" s="8">
        <f>M280-INDEX(Settings!$G$4:$G$9,MATCH($E280,Settings!$F$4:$F$9,0))</f>
        <v/>
      </c>
      <c r="O280" s="7">
        <f>N280*INDEX(Settings!$H$4:$H$9,MATCH($E280,Settings!$F$4:$F$9,0))</f>
        <v/>
      </c>
      <c r="P280" s="3" t="inlineStr">
        <is>
          <t>HIGH</t>
        </is>
      </c>
      <c r="Q280" s="5" t="inlineStr">
        <is>
          <t>Rookie</t>
        </is>
      </c>
    </row>
    <row r="281">
      <c r="A281" s="3" t="n">
        <v>279</v>
      </c>
      <c r="B281" s="9" t="inlineStr">
        <is>
          <t>RB70</t>
        </is>
      </c>
      <c r="C281" s="5" t="inlineStr">
        <is>
          <t>Emari Demercado</t>
        </is>
      </c>
      <c r="D281" s="3" t="inlineStr">
        <is>
          <t>KC</t>
        </is>
      </c>
      <c r="E281" s="9" t="inlineStr">
        <is>
          <t>RB</t>
        </is>
      </c>
      <c r="F281" s="6" t="n"/>
      <c r="G281" s="6" t="n">
        <v>1.2</v>
      </c>
      <c r="H281" s="6" t="n">
        <v>0.3</v>
      </c>
      <c r="I281" s="6" t="n"/>
      <c r="J281" s="6" t="n"/>
      <c r="K281" s="6" t="n"/>
      <c r="L281" s="6" t="n"/>
      <c r="M281" s="7">
        <f>F281*Settings!$B$4+G281*Settings!$B$5+H281*Settings!$B$6+I281*Settings!$B$7+J281*Settings!$B$8+K281*Settings!$B$9+L281*Settings!$B$10</f>
        <v/>
      </c>
      <c r="N281" s="8">
        <f>M281-INDEX(Settings!$G$4:$G$9,MATCH($E281,Settings!$F$4:$F$9,0))</f>
        <v/>
      </c>
      <c r="O281" s="7">
        <f>N281*INDEX(Settings!$H$4:$H$9,MATCH($E281,Settings!$F$4:$F$9,0))</f>
        <v/>
      </c>
      <c r="P281" s="3" t="inlineStr">
        <is>
          <t>HIGH</t>
        </is>
      </c>
      <c r="Q281" s="5" t="inlineStr"/>
    </row>
    <row r="282">
      <c r="A282" s="3" t="n">
        <v>280</v>
      </c>
      <c r="B282" s="4" t="inlineStr">
        <is>
          <t>QB29</t>
        </is>
      </c>
      <c r="C282" s="5" t="inlineStr">
        <is>
          <t>Jacoby Brissett</t>
        </is>
      </c>
      <c r="D282" s="3" t="inlineStr">
        <is>
          <t>ARI</t>
        </is>
      </c>
      <c r="E282" s="4" t="inlineStr">
        <is>
          <t>QB</t>
        </is>
      </c>
      <c r="F282" s="6" t="n">
        <v>18</v>
      </c>
      <c r="G282" s="6" t="n">
        <v>1</v>
      </c>
      <c r="H282" s="6" t="n"/>
      <c r="I282" s="6" t="n"/>
      <c r="J282" s="6" t="n"/>
      <c r="K282" s="6" t="n"/>
      <c r="L282" s="6" t="n"/>
      <c r="M282" s="7">
        <f>F282*Settings!$B$4+G282*Settings!$B$5+H282*Settings!$B$6+I282*Settings!$B$7+J282*Settings!$B$8+K282*Settings!$B$9+L282*Settings!$B$10</f>
        <v/>
      </c>
      <c r="N282" s="8">
        <f>M282-INDEX(Settings!$G$4:$G$9,MATCH($E282,Settings!$F$4:$F$9,0))</f>
        <v/>
      </c>
      <c r="O282" s="7">
        <f>N282*INDEX(Settings!$H$4:$H$9,MATCH($E282,Settings!$F$4:$F$9,0))</f>
        <v/>
      </c>
      <c r="P282" s="3" t="inlineStr">
        <is>
          <t>MEDIUM</t>
        </is>
      </c>
      <c r="Q282" s="5" t="inlineStr">
        <is>
          <t>ARI 3.5 win total worst in NFL</t>
        </is>
      </c>
    </row>
    <row r="283">
      <c r="A283" s="3" t="n">
        <v>281</v>
      </c>
      <c r="B283" s="4" t="inlineStr">
        <is>
          <t>QB30</t>
        </is>
      </c>
      <c r="C283" s="5" t="inlineStr">
        <is>
          <t>Fernando Mendoza</t>
        </is>
      </c>
      <c r="D283" s="3" t="inlineStr">
        <is>
          <t>LV</t>
        </is>
      </c>
      <c r="E283" s="4" t="inlineStr">
        <is>
          <t>QB</t>
        </is>
      </c>
      <c r="F283" s="6" t="n">
        <v>13</v>
      </c>
      <c r="G283" s="6" t="n">
        <v>1.5</v>
      </c>
      <c r="H283" s="6" t="n"/>
      <c r="I283" s="6" t="n"/>
      <c r="J283" s="6" t="n"/>
      <c r="K283" s="6" t="n"/>
      <c r="L283" s="6" t="n"/>
      <c r="M283" s="7">
        <f>F283*Settings!$B$4+G283*Settings!$B$5+H283*Settings!$B$6+I283*Settings!$B$7+J283*Settings!$B$8+K283*Settings!$B$9+L283*Settings!$B$10</f>
        <v/>
      </c>
      <c r="N283" s="8">
        <f>M283-INDEX(Settings!$G$4:$G$9,MATCH($E283,Settings!$F$4:$F$9,0))</f>
        <v/>
      </c>
      <c r="O283" s="7">
        <f>N283*INDEX(Settings!$H$4:$H$9,MATCH($E283,Settings!$F$4:$F$9,0))</f>
        <v/>
      </c>
      <c r="P283" s="3" t="inlineStr">
        <is>
          <t>LOW</t>
        </is>
      </c>
      <c r="Q283" s="5" t="inlineStr">
        <is>
          <t>Rookie No.1 overall; Cousins starts Week 1 but handoff expected</t>
        </is>
      </c>
    </row>
    <row r="284">
      <c r="A284" s="3" t="n">
        <v>282</v>
      </c>
      <c r="B284" s="4" t="inlineStr">
        <is>
          <t>QB31</t>
        </is>
      </c>
      <c r="C284" s="5" t="inlineStr">
        <is>
          <t>Shedeur Sanders</t>
        </is>
      </c>
      <c r="D284" s="3" t="inlineStr">
        <is>
          <t>CLE</t>
        </is>
      </c>
      <c r="E284" s="4" t="inlineStr">
        <is>
          <t>QB</t>
        </is>
      </c>
      <c r="F284" s="6" t="n">
        <v>11</v>
      </c>
      <c r="G284" s="6" t="n">
        <v>1.5</v>
      </c>
      <c r="H284" s="6" t="n"/>
      <c r="I284" s="6" t="n"/>
      <c r="J284" s="6" t="n"/>
      <c r="K284" s="6" t="n"/>
      <c r="L284" s="6" t="n"/>
      <c r="M284" s="7">
        <f>F284*Settings!$B$4+G284*Settings!$B$5+H284*Settings!$B$6+I284*Settings!$B$7+J284*Settings!$B$8+K284*Settings!$B$9+L284*Settings!$B$10</f>
        <v/>
      </c>
      <c r="N284" s="8">
        <f>M284-INDEX(Settings!$G$4:$G$9,MATCH($E284,Settings!$F$4:$F$9,0))</f>
        <v/>
      </c>
      <c r="O284" s="7">
        <f>N284*INDEX(Settings!$H$4:$H$9,MATCH($E284,Settings!$F$4:$F$9,0))</f>
        <v/>
      </c>
      <c r="P284" s="3" t="inlineStr">
        <is>
          <t>LOW</t>
        </is>
      </c>
      <c r="Q284" s="5" t="inlineStr">
        <is>
          <t>Watson named starter but Clay projects Sanders more volume</t>
        </is>
      </c>
    </row>
    <row r="285">
      <c r="A285" s="3" t="n">
        <v>283</v>
      </c>
      <c r="B285" s="4" t="inlineStr">
        <is>
          <t>QB32</t>
        </is>
      </c>
      <c r="C285" s="5" t="inlineStr">
        <is>
          <t>Tua Tagovailoa</t>
        </is>
      </c>
      <c r="D285" s="3" t="inlineStr">
        <is>
          <t>ATL</t>
        </is>
      </c>
      <c r="E285" s="4" t="inlineStr">
        <is>
          <t>QB</t>
        </is>
      </c>
      <c r="F285" s="6" t="n">
        <v>12</v>
      </c>
      <c r="G285" s="6" t="n"/>
      <c r="H285" s="6" t="n"/>
      <c r="I285" s="6" t="n"/>
      <c r="J285" s="6" t="n"/>
      <c r="K285" s="6" t="n"/>
      <c r="L285" s="6" t="n"/>
      <c r="M285" s="7">
        <f>F285*Settings!$B$4+G285*Settings!$B$5+H285*Settings!$B$6+I285*Settings!$B$7+J285*Settings!$B$8+K285*Settings!$B$9+L285*Settings!$B$10</f>
        <v/>
      </c>
      <c r="N285" s="8">
        <f>M285-INDEX(Settings!$G$4:$G$9,MATCH($E285,Settings!$F$4:$F$9,0))</f>
        <v/>
      </c>
      <c r="O285" s="7">
        <f>N285*INDEX(Settings!$H$4:$H$9,MATCH($E285,Settings!$F$4:$F$9,0))</f>
        <v/>
      </c>
      <c r="P285" s="3" t="inlineStr">
        <is>
          <t>LOW</t>
        </is>
      </c>
      <c r="Q285" s="5" t="inlineStr">
        <is>
          <t>ATL QB job unsettled; no rush value either way</t>
        </is>
      </c>
    </row>
    <row r="286">
      <c r="A286" s="3" t="n">
        <v>284</v>
      </c>
      <c r="B286" s="4" t="inlineStr">
        <is>
          <t>QB33</t>
        </is>
      </c>
      <c r="C286" s="5" t="inlineStr">
        <is>
          <t>Deshaun Watson</t>
        </is>
      </c>
      <c r="D286" s="3" t="inlineStr">
        <is>
          <t>CLE</t>
        </is>
      </c>
      <c r="E286" s="4" t="inlineStr">
        <is>
          <t>QB</t>
        </is>
      </c>
      <c r="F286" s="6" t="n">
        <v>10</v>
      </c>
      <c r="G286" s="6" t="n">
        <v>1</v>
      </c>
      <c r="H286" s="6" t="n"/>
      <c r="I286" s="6" t="n"/>
      <c r="J286" s="6" t="n"/>
      <c r="K286" s="6" t="n"/>
      <c r="L286" s="6" t="n"/>
      <c r="M286" s="7">
        <f>F286*Settings!$B$4+G286*Settings!$B$5+H286*Settings!$B$6+I286*Settings!$B$7+J286*Settings!$B$8+K286*Settings!$B$9+L286*Settings!$B$10</f>
        <v/>
      </c>
      <c r="N286" s="8">
        <f>M286-INDEX(Settings!$G$4:$G$9,MATCH($E286,Settings!$F$4:$F$9,0))</f>
        <v/>
      </c>
      <c r="O286" s="7">
        <f>N286*INDEX(Settings!$H$4:$H$9,MATCH($E286,Settings!$F$4:$F$9,0))</f>
        <v/>
      </c>
      <c r="P286" s="3" t="inlineStr">
        <is>
          <t>LOW</t>
        </is>
      </c>
      <c r="Q286" s="5" t="inlineStr">
        <is>
          <t>Named Week 1 starter; sources conflict badly</t>
        </is>
      </c>
    </row>
    <row r="287">
      <c r="A287" s="3" t="n">
        <v>285</v>
      </c>
      <c r="B287" s="4" t="inlineStr">
        <is>
          <t>QB34</t>
        </is>
      </c>
      <c r="C287" s="5" t="inlineStr">
        <is>
          <t>Michael Penix Jr.</t>
        </is>
      </c>
      <c r="D287" s="3" t="inlineStr">
        <is>
          <t>ATL</t>
        </is>
      </c>
      <c r="E287" s="4" t="inlineStr">
        <is>
          <t>QB</t>
        </is>
      </c>
      <c r="F287" s="6" t="n">
        <v>8</v>
      </c>
      <c r="G287" s="6" t="n">
        <v>1</v>
      </c>
      <c r="H287" s="6" t="n"/>
      <c r="I287" s="6" t="n"/>
      <c r="J287" s="6" t="n"/>
      <c r="K287" s="6" t="n"/>
      <c r="L287" s="6" t="n"/>
      <c r="M287" s="7">
        <f>F287*Settings!$B$4+G287*Settings!$B$5+H287*Settings!$B$6+I287*Settings!$B$7+J287*Settings!$B$8+K287*Settings!$B$9+L287*Settings!$B$10</f>
        <v/>
      </c>
      <c r="N287" s="8">
        <f>M287-INDEX(Settings!$G$4:$G$9,MATCH($E287,Settings!$F$4:$F$9,0))</f>
        <v/>
      </c>
      <c r="O287" s="7">
        <f>N287*INDEX(Settings!$H$4:$H$9,MATCH($E287,Settings!$F$4:$F$9,0))</f>
        <v/>
      </c>
      <c r="P287" s="3" t="inlineStr">
        <is>
          <t>LOW</t>
        </is>
      </c>
      <c r="Q287" s="5" t="inlineStr">
        <is>
          <t>Recovering from torn ACL not fully cleared</t>
        </is>
      </c>
    </row>
    <row r="288">
      <c r="A288" s="3" t="n">
        <v>286</v>
      </c>
      <c r="B288" s="4" t="inlineStr">
        <is>
          <t>QB35</t>
        </is>
      </c>
      <c r="C288" s="5" t="inlineStr">
        <is>
          <t>Kirk Cousins</t>
        </is>
      </c>
      <c r="D288" s="3" t="inlineStr">
        <is>
          <t>LV</t>
        </is>
      </c>
      <c r="E288" s="4" t="inlineStr">
        <is>
          <t>QB</t>
        </is>
      </c>
      <c r="F288" s="6" t="n">
        <v>6</v>
      </c>
      <c r="G288" s="6" t="n"/>
      <c r="H288" s="6" t="n"/>
      <c r="I288" s="6" t="n"/>
      <c r="J288" s="6" t="n"/>
      <c r="K288" s="6" t="n"/>
      <c r="L288" s="6" t="n"/>
      <c r="M288" s="7">
        <f>F288*Settings!$B$4+G288*Settings!$B$5+H288*Settings!$B$6+I288*Settings!$B$7+J288*Settings!$B$8+K288*Settings!$B$9+L288*Settings!$B$10</f>
        <v/>
      </c>
      <c r="N288" s="8">
        <f>M288-INDEX(Settings!$G$4:$G$9,MATCH($E288,Settings!$F$4:$F$9,0))</f>
        <v/>
      </c>
      <c r="O288" s="7">
        <f>N288*INDEX(Settings!$H$4:$H$9,MATCH($E288,Settings!$F$4:$F$9,0))</f>
        <v/>
      </c>
      <c r="P288" s="3" t="inlineStr">
        <is>
          <t>LOW</t>
        </is>
      </c>
      <c r="Q288" s="5" t="inlineStr"/>
    </row>
    <row r="289">
      <c r="A289" s="3" t="n">
        <v>287</v>
      </c>
      <c r="B289" s="4" t="inlineStr">
        <is>
          <t>QB36</t>
        </is>
      </c>
      <c r="C289" s="5" t="inlineStr">
        <is>
          <t>J.J. McCarthy</t>
        </is>
      </c>
      <c r="D289" s="3" t="inlineStr">
        <is>
          <t>MIN</t>
        </is>
      </c>
      <c r="E289" s="4" t="inlineStr">
        <is>
          <t>QB</t>
        </is>
      </c>
      <c r="F289" s="6" t="n">
        <v>3</v>
      </c>
      <c r="G289" s="6" t="n">
        <v>1</v>
      </c>
      <c r="H289" s="6" t="n"/>
      <c r="I289" s="6" t="n"/>
      <c r="J289" s="6" t="n"/>
      <c r="K289" s="6" t="n"/>
      <c r="L289" s="6" t="n"/>
      <c r="M289" s="7">
        <f>F289*Settings!$B$4+G289*Settings!$B$5+H289*Settings!$B$6+I289*Settings!$B$7+J289*Settings!$B$8+K289*Settings!$B$9+L289*Settings!$B$10</f>
        <v/>
      </c>
      <c r="N289" s="8">
        <f>M289-INDEX(Settings!$G$4:$G$9,MATCH($E289,Settings!$F$4:$F$9,0))</f>
        <v/>
      </c>
      <c r="O289" s="7">
        <f>N289*INDEX(Settings!$H$4:$H$9,MATCH($E289,Settings!$F$4:$F$9,0))</f>
        <v/>
      </c>
      <c r="P289" s="3" t="inlineStr">
        <is>
          <t>LOW</t>
        </is>
      </c>
      <c r="Q289" s="5" t="inlineStr">
        <is>
          <t>Lost job to Murray</t>
        </is>
      </c>
    </row>
    <row r="290">
      <c r="A290" s="3" t="n">
        <v>288</v>
      </c>
      <c r="B290" s="4" t="inlineStr">
        <is>
          <t>QB37</t>
        </is>
      </c>
      <c r="C290" s="5" t="inlineStr">
        <is>
          <t>Justin Fields</t>
        </is>
      </c>
      <c r="D290" s="3" t="inlineStr">
        <is>
          <t>KC</t>
        </is>
      </c>
      <c r="E290" s="4" t="inlineStr">
        <is>
          <t>QB</t>
        </is>
      </c>
      <c r="F290" s="6" t="n">
        <v>1</v>
      </c>
      <c r="G290" s="6" t="n">
        <v>1</v>
      </c>
      <c r="H290" s="6" t="n"/>
      <c r="I290" s="6" t="n"/>
      <c r="J290" s="6" t="n"/>
      <c r="K290" s="6" t="n"/>
      <c r="L290" s="6" t="n"/>
      <c r="M290" s="7">
        <f>F290*Settings!$B$4+G290*Settings!$B$5+H290*Settings!$B$6+I290*Settings!$B$7+J290*Settings!$B$8+K290*Settings!$B$9+L290*Settings!$B$10</f>
        <v/>
      </c>
      <c r="N290" s="8">
        <f>M290-INDEX(Settings!$G$4:$G$9,MATCH($E290,Settings!$F$4:$F$9,0))</f>
        <v/>
      </c>
      <c r="O290" s="7">
        <f>N290*INDEX(Settings!$H$4:$H$9,MATCH($E290,Settings!$F$4:$F$9,0))</f>
        <v/>
      </c>
      <c r="P290" s="3" t="inlineStr">
        <is>
          <t>LOW</t>
        </is>
      </c>
      <c r="Q290" s="5" t="inlineStr">
        <is>
          <t>BEST HANDCUFF IN FORMAT: rushing QB behind Mahomes ACL recovery</t>
        </is>
      </c>
    </row>
  </sheetData>
  <autoFilter ref="A2:Q290"/>
  <mergeCells count="1">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5" customWidth="1" min="4" max="4"/>
    <col width="5" customWidth="1" min="5" max="5"/>
    <col width="8" customWidth="1" min="6" max="6"/>
    <col width="8" customWidth="1" min="7" max="7"/>
    <col width="8" customWidth="1" min="8" max="8"/>
    <col width="6" customWidth="1" min="9" max="9"/>
    <col width="6" customWidth="1" min="10" max="10"/>
    <col width="7" customWidth="1" min="11" max="11"/>
    <col width="6" customWidth="1" min="12" max="12"/>
    <col width="9" customWidth="1" min="13" max="13"/>
    <col width="8" customWidth="1" min="14" max="14"/>
    <col width="9" customWidth="1" min="15" max="15"/>
    <col width="8" customWidth="1" min="16" max="16"/>
    <col width="62" customWidth="1" min="17" max="17"/>
  </cols>
  <sheetData>
    <row r="1" ht="20" customHeight="1">
      <c r="A1" s="1" t="inlineStr">
        <is>
          <t>QB — ranked by projected points</t>
        </is>
      </c>
    </row>
    <row r="2" ht="26" customHeight="1">
      <c r="A2" s="2" t="inlineStr">
        <is>
          <t>Rank</t>
        </is>
      </c>
      <c r="B2" s="2" t="inlineStr">
        <is>
          <t>Pos</t>
        </is>
      </c>
      <c r="C2" s="2" t="inlineStr">
        <is>
          <t>Player</t>
        </is>
      </c>
      <c r="D2" s="2" t="inlineStr">
        <is>
          <t>Tm</t>
        </is>
      </c>
      <c r="E2" s="2" t="inlineStr">
        <is>
          <t>P</t>
        </is>
      </c>
      <c r="F2" s="2" t="inlineStr">
        <is>
          <t>PassTD</t>
        </is>
      </c>
      <c r="G2" s="2" t="inlineStr">
        <is>
          <t>RushTD</t>
        </is>
      </c>
      <c r="H2" s="2" t="inlineStr">
        <is>
          <t>RecTD</t>
        </is>
      </c>
      <c r="I2" s="2" t="inlineStr">
        <is>
          <t>FG</t>
        </is>
      </c>
      <c r="J2" s="2" t="inlineStr">
        <is>
          <t>PAT</t>
        </is>
      </c>
      <c r="K2" s="2" t="inlineStr">
        <is>
          <t>DefTD</t>
        </is>
      </c>
      <c r="L2" s="2" t="inlineStr">
        <is>
          <t>Saf</t>
        </is>
      </c>
      <c r="M2" s="2" t="inlineStr">
        <is>
          <t>Points</t>
        </is>
      </c>
      <c r="N2" s="2" t="inlineStr">
        <is>
          <t>VOR</t>
        </is>
      </c>
      <c r="O2" s="2" t="inlineStr">
        <is>
          <t>Adj VOR</t>
        </is>
      </c>
      <c r="P2" s="2" t="inlineStr">
        <is>
          <t>Conf</t>
        </is>
      </c>
      <c r="Q2" s="2" t="inlineStr">
        <is>
          <t>Notes</t>
        </is>
      </c>
    </row>
    <row r="3">
      <c r="A3" s="3" t="n">
        <v>1</v>
      </c>
      <c r="B3" s="4" t="inlineStr">
        <is>
          <t>QB1</t>
        </is>
      </c>
      <c r="C3" s="5" t="inlineStr">
        <is>
          <t>Josh Allen</t>
        </is>
      </c>
      <c r="D3" s="3" t="inlineStr">
        <is>
          <t>BUF</t>
        </is>
      </c>
      <c r="E3" s="4" t="inlineStr">
        <is>
          <t>QB</t>
        </is>
      </c>
      <c r="F3" s="6" t="n">
        <v>27</v>
      </c>
      <c r="G3" s="6" t="n">
        <v>12</v>
      </c>
      <c r="H3" s="6" t="n"/>
      <c r="I3" s="6" t="n"/>
      <c r="J3" s="6" t="n"/>
      <c r="K3" s="6" t="n"/>
      <c r="L3" s="6" t="n"/>
      <c r="M3" s="7">
        <f>F3*Settings!$B$4+G3*Settings!$B$5+H3*Settings!$B$6+I3*Settings!$B$7+J3*Settings!$B$8+K3*Settings!$B$9+L3*Settings!$B$10</f>
        <v/>
      </c>
      <c r="N3" s="8">
        <f>M3-INDEX(Settings!$G$4:$G$9,MATCH($E3,Settings!$F$4:$F$9,0))</f>
        <v/>
      </c>
      <c r="O3" s="7">
        <f>N3*INDEX(Settings!$H$4:$H$9,MATCH($E3,Settings!$F$4:$F$9,0))</f>
        <v/>
      </c>
      <c r="P3" s="3" t="inlineStr">
        <is>
          <t>HIGH</t>
        </is>
      </c>
      <c r="Q3" s="5" t="inlineStr">
        <is>
          <t>TIER OF ONE. 12 rush TDs alone outscore 20 of 40 QBs in total</t>
        </is>
      </c>
    </row>
    <row r="4">
      <c r="A4" s="3" t="n">
        <v>6</v>
      </c>
      <c r="B4" s="4" t="inlineStr">
        <is>
          <t>QB2</t>
        </is>
      </c>
      <c r="C4" s="5" t="inlineStr">
        <is>
          <t>Jalen Hurts</t>
        </is>
      </c>
      <c r="D4" s="3" t="inlineStr">
        <is>
          <t>PHI</t>
        </is>
      </c>
      <c r="E4" s="4" t="inlineStr">
        <is>
          <t>QB</t>
        </is>
      </c>
      <c r="F4" s="6" t="n">
        <v>24</v>
      </c>
      <c r="G4" s="6" t="n">
        <v>8.5</v>
      </c>
      <c r="H4" s="6" t="n"/>
      <c r="I4" s="6" t="n"/>
      <c r="J4" s="6" t="n"/>
      <c r="K4" s="6" t="n"/>
      <c r="L4" s="6" t="n"/>
      <c r="M4" s="7">
        <f>F4*Settings!$B$4+G4*Settings!$B$5+H4*Settings!$B$6+I4*Settings!$B$7+J4*Settings!$B$8+K4*Settings!$B$9+L4*Settings!$B$10</f>
        <v/>
      </c>
      <c r="N4" s="8">
        <f>M4-INDEX(Settings!$G$4:$G$9,MATCH($E4,Settings!$F$4:$F$9,0))</f>
        <v/>
      </c>
      <c r="O4" s="7">
        <f>N4*INDEX(Settings!$H$4:$H$9,MATCH($E4,Settings!$F$4:$F$9,0))</f>
        <v/>
      </c>
      <c r="P4" s="3" t="inlineStr">
        <is>
          <t>HIGH</t>
        </is>
      </c>
      <c r="Q4" s="5" t="inlineStr">
        <is>
          <t>Tush push survived 2026 rules vote; goal-line sneak intact</t>
        </is>
      </c>
    </row>
    <row r="5">
      <c r="A5" s="3" t="n">
        <v>24</v>
      </c>
      <c r="B5" s="4" t="inlineStr">
        <is>
          <t>QB3</t>
        </is>
      </c>
      <c r="C5" s="5" t="inlineStr">
        <is>
          <t>Joe Burrow</t>
        </is>
      </c>
      <c r="D5" s="3" t="inlineStr">
        <is>
          <t>CIN</t>
        </is>
      </c>
      <c r="E5" s="4" t="inlineStr">
        <is>
          <t>QB</t>
        </is>
      </c>
      <c r="F5" s="6" t="n">
        <v>33</v>
      </c>
      <c r="G5" s="6" t="n">
        <v>1.5</v>
      </c>
      <c r="H5" s="6" t="n"/>
      <c r="I5" s="6" t="n"/>
      <c r="J5" s="6" t="n"/>
      <c r="K5" s="6" t="n"/>
      <c r="L5" s="6" t="n"/>
      <c r="M5" s="7">
        <f>F5*Settings!$B$4+G5*Settings!$B$5+H5*Settings!$B$6+I5*Settings!$B$7+J5*Settings!$B$8+K5*Settings!$B$9+L5*Settings!$B$10</f>
        <v/>
      </c>
      <c r="N5" s="8">
        <f>M5-INDEX(Settings!$G$4:$G$9,MATCH($E5,Settings!$F$4:$F$9,0))</f>
        <v/>
      </c>
      <c r="O5" s="7">
        <f>N5*INDEX(Settings!$H$4:$H$9,MATCH($E5,Settings!$F$4:$F$9,0))</f>
        <v/>
      </c>
      <c r="P5" s="3" t="inlineStr">
        <is>
          <t>HIGH</t>
        </is>
      </c>
      <c r="Q5" s="5" t="inlineStr">
        <is>
          <t>Volume passer; CIN 26.0 implied pts</t>
        </is>
      </c>
    </row>
    <row r="6">
      <c r="A6" s="3" t="n">
        <v>25</v>
      </c>
      <c r="B6" s="4" t="inlineStr">
        <is>
          <t>QB4</t>
        </is>
      </c>
      <c r="C6" s="5" t="inlineStr">
        <is>
          <t>Drake Maye</t>
        </is>
      </c>
      <c r="D6" s="3" t="inlineStr">
        <is>
          <t>NE</t>
        </is>
      </c>
      <c r="E6" s="4" t="inlineStr">
        <is>
          <t>QB</t>
        </is>
      </c>
      <c r="F6" s="6" t="n">
        <v>28</v>
      </c>
      <c r="G6" s="6" t="n">
        <v>4</v>
      </c>
      <c r="H6" s="6" t="n"/>
      <c r="I6" s="6" t="n"/>
      <c r="J6" s="6" t="n"/>
      <c r="K6" s="6" t="n"/>
      <c r="L6" s="6" t="n"/>
      <c r="M6" s="7">
        <f>F6*Settings!$B$4+G6*Settings!$B$5+H6*Settings!$B$6+I6*Settings!$B$7+J6*Settings!$B$8+K6*Settings!$B$9+L6*Settings!$B$10</f>
        <v/>
      </c>
      <c r="N6" s="8">
        <f>M6-INDEX(Settings!$G$4:$G$9,MATCH($E6,Settings!$F$4:$F$9,0))</f>
        <v/>
      </c>
      <c r="O6" s="7">
        <f>N6*INDEX(Settings!$H$4:$H$9,MATCH($E6,Settings!$F$4:$F$9,0))</f>
        <v/>
      </c>
      <c r="P6" s="3" t="inlineStr">
        <is>
          <t>HIGH</t>
        </is>
      </c>
      <c r="Q6" s="5" t="inlineStr">
        <is>
          <t>NE 10.5 win total</t>
        </is>
      </c>
    </row>
    <row r="7">
      <c r="A7" s="3" t="n">
        <v>33</v>
      </c>
      <c r="B7" s="4" t="inlineStr">
        <is>
          <t>QB5</t>
        </is>
      </c>
      <c r="C7" s="5" t="inlineStr">
        <is>
          <t>Trevor Lawrence</t>
        </is>
      </c>
      <c r="D7" s="3" t="inlineStr">
        <is>
          <t>JAX</t>
        </is>
      </c>
      <c r="E7" s="4" t="inlineStr">
        <is>
          <t>QB</t>
        </is>
      </c>
      <c r="F7" s="6" t="n">
        <v>26</v>
      </c>
      <c r="G7" s="6" t="n">
        <v>4.5</v>
      </c>
      <c r="H7" s="6" t="n"/>
      <c r="I7" s="6" t="n"/>
      <c r="J7" s="6" t="n"/>
      <c r="K7" s="6" t="n"/>
      <c r="L7" s="6" t="n"/>
      <c r="M7" s="7">
        <f>F7*Settings!$B$4+G7*Settings!$B$5+H7*Settings!$B$6+I7*Settings!$B$7+J7*Settings!$B$8+K7*Settings!$B$9+L7*Settings!$B$10</f>
        <v/>
      </c>
      <c r="N7" s="8">
        <f>M7-INDEX(Settings!$G$4:$G$9,MATCH($E7,Settings!$F$4:$F$9,0))</f>
        <v/>
      </c>
      <c r="O7" s="7">
        <f>N7*INDEX(Settings!$H$4:$H$9,MATCH($E7,Settings!$F$4:$F$9,0))</f>
        <v/>
      </c>
      <c r="P7" s="3" t="inlineStr">
        <is>
          <t>HIGH</t>
        </is>
      </c>
      <c r="Q7" s="5" t="inlineStr"/>
    </row>
    <row r="8">
      <c r="A8" s="3" t="n">
        <v>34</v>
      </c>
      <c r="B8" s="4" t="inlineStr">
        <is>
          <t>QB6</t>
        </is>
      </c>
      <c r="C8" s="5" t="inlineStr">
        <is>
          <t>Matthew Stafford</t>
        </is>
      </c>
      <c r="D8" s="3" t="inlineStr">
        <is>
          <t>LAR</t>
        </is>
      </c>
      <c r="E8" s="4" t="inlineStr">
        <is>
          <t>QB</t>
        </is>
      </c>
      <c r="F8" s="6" t="n">
        <v>34</v>
      </c>
      <c r="G8" s="6" t="n">
        <v>0.5</v>
      </c>
      <c r="H8" s="6" t="n"/>
      <c r="I8" s="6" t="n"/>
      <c r="J8" s="6" t="n"/>
      <c r="K8" s="6" t="n"/>
      <c r="L8" s="6" t="n"/>
      <c r="M8" s="7">
        <f>F8*Settings!$B$4+G8*Settings!$B$5+H8*Settings!$B$6+I8*Settings!$B$7+J8*Settings!$B$8+K8*Settings!$B$9+L8*Settings!$B$10</f>
        <v/>
      </c>
      <c r="N8" s="8">
        <f>M8-INDEX(Settings!$G$4:$G$9,MATCH($E8,Settings!$F$4:$F$9,0))</f>
        <v/>
      </c>
      <c r="O8" s="7">
        <f>N8*INDEX(Settings!$H$4:$H$9,MATCH($E8,Settings!$F$4:$F$9,0))</f>
        <v/>
      </c>
      <c r="P8" s="3" t="inlineStr">
        <is>
          <t>HIGH</t>
        </is>
      </c>
      <c r="Q8" s="5" t="inlineStr">
        <is>
          <t>LAR highest implied pts 26.6 but zero rush value</t>
        </is>
      </c>
    </row>
    <row r="9">
      <c r="A9" s="3" t="n">
        <v>37</v>
      </c>
      <c r="B9" s="4" t="inlineStr">
        <is>
          <t>QB7</t>
        </is>
      </c>
      <c r="C9" s="5" t="inlineStr">
        <is>
          <t>Dak Prescott</t>
        </is>
      </c>
      <c r="D9" s="3" t="inlineStr">
        <is>
          <t>DAL</t>
        </is>
      </c>
      <c r="E9" s="4" t="inlineStr">
        <is>
          <t>QB</t>
        </is>
      </c>
      <c r="F9" s="6" t="n">
        <v>30.5</v>
      </c>
      <c r="G9" s="6" t="n">
        <v>2</v>
      </c>
      <c r="H9" s="6" t="n"/>
      <c r="I9" s="6" t="n"/>
      <c r="J9" s="6" t="n"/>
      <c r="K9" s="6" t="n"/>
      <c r="L9" s="6" t="n"/>
      <c r="M9" s="7">
        <f>F9*Settings!$B$4+G9*Settings!$B$5+H9*Settings!$B$6+I9*Settings!$B$7+J9*Settings!$B$8+K9*Settings!$B$9+L9*Settings!$B$10</f>
        <v/>
      </c>
      <c r="N9" s="8">
        <f>M9-INDEX(Settings!$G$4:$G$9,MATCH($E9,Settings!$F$4:$F$9,0))</f>
        <v/>
      </c>
      <c r="O9" s="7">
        <f>N9*INDEX(Settings!$H$4:$H$9,MATCH($E9,Settings!$F$4:$F$9,0))</f>
        <v/>
      </c>
      <c r="P9" s="3" t="inlineStr">
        <is>
          <t>HIGH</t>
        </is>
      </c>
      <c r="Q9" s="5" t="inlineStr"/>
    </row>
    <row r="10">
      <c r="A10" s="3" t="n">
        <v>44</v>
      </c>
      <c r="B10" s="4" t="inlineStr">
        <is>
          <t>QB8</t>
        </is>
      </c>
      <c r="C10" s="5" t="inlineStr">
        <is>
          <t>Jaxson Dart</t>
        </is>
      </c>
      <c r="D10" s="3" t="inlineStr">
        <is>
          <t>NYG</t>
        </is>
      </c>
      <c r="E10" s="4" t="inlineStr">
        <is>
          <t>QB</t>
        </is>
      </c>
      <c r="F10" s="6" t="n">
        <v>22</v>
      </c>
      <c r="G10" s="6" t="n">
        <v>6</v>
      </c>
      <c r="H10" s="6" t="n"/>
      <c r="I10" s="6" t="n"/>
      <c r="J10" s="6" t="n"/>
      <c r="K10" s="6" t="n"/>
      <c r="L10" s="6" t="n"/>
      <c r="M10" s="7">
        <f>F10*Settings!$B$4+G10*Settings!$B$5+H10*Settings!$B$6+I10*Settings!$B$7+J10*Settings!$B$8+K10*Settings!$B$9+L10*Settings!$B$10</f>
        <v/>
      </c>
      <c r="N10" s="8">
        <f>M10-INDEX(Settings!$G$4:$G$9,MATCH($E10,Settings!$F$4:$F$9,0))</f>
        <v/>
      </c>
      <c r="O10" s="7">
        <f>N10*INDEX(Settings!$H$4:$H$9,MATCH($E10,Settings!$F$4:$F$9,0))</f>
        <v/>
      </c>
      <c r="P10" s="3" t="inlineStr">
        <is>
          <t>HIGH</t>
        </is>
      </c>
      <c r="Q10" s="5" t="inlineStr">
        <is>
          <t>BIGGEST ADP ARBITRAGE. But new HC Harbaugh may curb rushing</t>
        </is>
      </c>
    </row>
    <row r="11">
      <c r="A11" s="3" t="n">
        <v>45</v>
      </c>
      <c r="B11" s="4" t="inlineStr">
        <is>
          <t>QB9</t>
        </is>
      </c>
      <c r="C11" s="5" t="inlineStr">
        <is>
          <t>Brock Purdy</t>
        </is>
      </c>
      <c r="D11" s="3" t="inlineStr">
        <is>
          <t>SF</t>
        </is>
      </c>
      <c r="E11" s="4" t="inlineStr">
        <is>
          <t>QB</t>
        </is>
      </c>
      <c r="F11" s="6" t="n">
        <v>27</v>
      </c>
      <c r="G11" s="6" t="n">
        <v>3.5</v>
      </c>
      <c r="H11" s="6" t="n"/>
      <c r="I11" s="6" t="n"/>
      <c r="J11" s="6" t="n"/>
      <c r="K11" s="6" t="n"/>
      <c r="L11" s="6" t="n"/>
      <c r="M11" s="7">
        <f>F11*Settings!$B$4+G11*Settings!$B$5+H11*Settings!$B$6+I11*Settings!$B$7+J11*Settings!$B$8+K11*Settings!$B$9+L11*Settings!$B$10</f>
        <v/>
      </c>
      <c r="N11" s="8">
        <f>M11-INDEX(Settings!$G$4:$G$9,MATCH($E11,Settings!$F$4:$F$9,0))</f>
        <v/>
      </c>
      <c r="O11" s="7">
        <f>N11*INDEX(Settings!$H$4:$H$9,MATCH($E11,Settings!$F$4:$F$9,0))</f>
        <v/>
      </c>
      <c r="P11" s="3" t="inlineStr">
        <is>
          <t>HIGH</t>
        </is>
      </c>
      <c r="Q11" s="5" t="inlineStr"/>
    </row>
    <row r="12">
      <c r="A12" s="3" t="n">
        <v>62</v>
      </c>
      <c r="B12" s="4" t="inlineStr">
        <is>
          <t>QB10</t>
        </is>
      </c>
      <c r="C12" s="5" t="inlineStr">
        <is>
          <t>Lamar Jackson</t>
        </is>
      </c>
      <c r="D12" s="3" t="inlineStr">
        <is>
          <t>BAL</t>
        </is>
      </c>
      <c r="E12" s="4" t="inlineStr">
        <is>
          <t>QB</t>
        </is>
      </c>
      <c r="F12" s="6" t="n">
        <v>26.5</v>
      </c>
      <c r="G12" s="6" t="n">
        <v>3.5</v>
      </c>
      <c r="H12" s="6" t="n"/>
      <c r="I12" s="6" t="n"/>
      <c r="J12" s="6" t="n"/>
      <c r="K12" s="6" t="n"/>
      <c r="L12" s="6" t="n"/>
      <c r="M12" s="7">
        <f>F12*Settings!$B$4+G12*Settings!$B$5+H12*Settings!$B$6+I12*Settings!$B$7+J12*Settings!$B$8+K12*Settings!$B$9+L12*Settings!$B$10</f>
        <v/>
      </c>
      <c r="N12" s="8">
        <f>M12-INDEX(Settings!$G$4:$G$9,MATCH($E12,Settings!$F$4:$F$9,0))</f>
        <v/>
      </c>
      <c r="O12" s="7">
        <f>N12*INDEX(Settings!$H$4:$H$9,MATCH($E12,Settings!$F$4:$F$9,0))</f>
        <v/>
      </c>
      <c r="P12" s="3" t="inlineStr">
        <is>
          <t>HIGH</t>
        </is>
      </c>
      <c r="Q12" s="5" t="inlineStr">
        <is>
          <t>BAL 11.5 win total</t>
        </is>
      </c>
    </row>
    <row r="13">
      <c r="A13" s="3" t="n">
        <v>63</v>
      </c>
      <c r="B13" s="4" t="inlineStr">
        <is>
          <t>QB11</t>
        </is>
      </c>
      <c r="C13" s="5" t="inlineStr">
        <is>
          <t>Jayden Daniels</t>
        </is>
      </c>
      <c r="D13" s="3" t="inlineStr">
        <is>
          <t>WAS</t>
        </is>
      </c>
      <c r="E13" s="4" t="inlineStr">
        <is>
          <t>QB</t>
        </is>
      </c>
      <c r="F13" s="6" t="n">
        <v>23.5</v>
      </c>
      <c r="G13" s="6" t="n">
        <v>5</v>
      </c>
      <c r="H13" s="6" t="n"/>
      <c r="I13" s="6" t="n"/>
      <c r="J13" s="6" t="n"/>
      <c r="K13" s="6" t="n"/>
      <c r="L13" s="6" t="n"/>
      <c r="M13" s="7">
        <f>F13*Settings!$B$4+G13*Settings!$B$5+H13*Settings!$B$6+I13*Settings!$B$7+J13*Settings!$B$8+K13*Settings!$B$9+L13*Settings!$B$10</f>
        <v/>
      </c>
      <c r="N13" s="8">
        <f>M13-INDEX(Settings!$G$4:$G$9,MATCH($E13,Settings!$F$4:$F$9,0))</f>
        <v/>
      </c>
      <c r="O13" s="7">
        <f>N13*INDEX(Settings!$H$4:$H$9,MATCH($E13,Settings!$F$4:$F$9,0))</f>
        <v/>
      </c>
      <c r="P13" s="3" t="inlineStr">
        <is>
          <t>HIGH</t>
        </is>
      </c>
      <c r="Q13" s="5" t="inlineStr"/>
    </row>
    <row r="14">
      <c r="A14" s="3" t="n">
        <v>64</v>
      </c>
      <c r="B14" s="4" t="inlineStr">
        <is>
          <t>QB12</t>
        </is>
      </c>
      <c r="C14" s="5" t="inlineStr">
        <is>
          <t>Bo Nix</t>
        </is>
      </c>
      <c r="D14" s="3" t="inlineStr">
        <is>
          <t>DEN</t>
        </is>
      </c>
      <c r="E14" s="4" t="inlineStr">
        <is>
          <t>QB</t>
        </is>
      </c>
      <c r="F14" s="6" t="n">
        <v>26.5</v>
      </c>
      <c r="G14" s="6" t="n">
        <v>3.5</v>
      </c>
      <c r="H14" s="6" t="n"/>
      <c r="I14" s="6" t="n"/>
      <c r="J14" s="6" t="n"/>
      <c r="K14" s="6" t="n"/>
      <c r="L14" s="6" t="n"/>
      <c r="M14" s="7">
        <f>F14*Settings!$B$4+G14*Settings!$B$5+H14*Settings!$B$6+I14*Settings!$B$7+J14*Settings!$B$8+K14*Settings!$B$9+L14*Settings!$B$10</f>
        <v/>
      </c>
      <c r="N14" s="8">
        <f>M14-INDEX(Settings!$G$4:$G$9,MATCH($E14,Settings!$F$4:$F$9,0))</f>
        <v/>
      </c>
      <c r="O14" s="7">
        <f>N14*INDEX(Settings!$H$4:$H$9,MATCH($E14,Settings!$F$4:$F$9,0))</f>
        <v/>
      </c>
      <c r="P14" s="3" t="inlineStr">
        <is>
          <t>HIGH</t>
        </is>
      </c>
      <c r="Q14" s="5" t="inlineStr"/>
    </row>
    <row r="15">
      <c r="A15" s="3" t="n">
        <v>75</v>
      </c>
      <c r="B15" s="4" t="inlineStr">
        <is>
          <t>QB13</t>
        </is>
      </c>
      <c r="C15" s="5" t="inlineStr">
        <is>
          <t>Caleb Williams</t>
        </is>
      </c>
      <c r="D15" s="3" t="inlineStr">
        <is>
          <t>CHI</t>
        </is>
      </c>
      <c r="E15" s="4" t="inlineStr">
        <is>
          <t>QB</t>
        </is>
      </c>
      <c r="F15" s="6" t="n">
        <v>27</v>
      </c>
      <c r="G15" s="6" t="n">
        <v>3</v>
      </c>
      <c r="H15" s="6" t="n"/>
      <c r="I15" s="6" t="n"/>
      <c r="J15" s="6" t="n"/>
      <c r="K15" s="6" t="n"/>
      <c r="L15" s="6" t="n"/>
      <c r="M15" s="7">
        <f>F15*Settings!$B$4+G15*Settings!$B$5+H15*Settings!$B$6+I15*Settings!$B$7+J15*Settings!$B$8+K15*Settings!$B$9+L15*Settings!$B$10</f>
        <v/>
      </c>
      <c r="N15" s="8">
        <f>M15-INDEX(Settings!$G$4:$G$9,MATCH($E15,Settings!$F$4:$F$9,0))</f>
        <v/>
      </c>
      <c r="O15" s="7">
        <f>N15*INDEX(Settings!$H$4:$H$9,MATCH($E15,Settings!$F$4:$F$9,0))</f>
        <v/>
      </c>
      <c r="P15" s="3" t="inlineStr">
        <is>
          <t>HIGH</t>
        </is>
      </c>
      <c r="Q15" s="5" t="inlineStr"/>
    </row>
    <row r="16">
      <c r="A16" s="3" t="n">
        <v>81</v>
      </c>
      <c r="B16" s="4" t="inlineStr">
        <is>
          <t>QB14</t>
        </is>
      </c>
      <c r="C16" s="5" t="inlineStr">
        <is>
          <t>Justin Herbert</t>
        </is>
      </c>
      <c r="D16" s="3" t="inlineStr">
        <is>
          <t>LAC</t>
        </is>
      </c>
      <c r="E16" s="4" t="inlineStr">
        <is>
          <t>QB</t>
        </is>
      </c>
      <c r="F16" s="6" t="n">
        <v>27.5</v>
      </c>
      <c r="G16" s="6" t="n">
        <v>2.5</v>
      </c>
      <c r="H16" s="6" t="n"/>
      <c r="I16" s="6" t="n"/>
      <c r="J16" s="6" t="n"/>
      <c r="K16" s="6" t="n"/>
      <c r="L16" s="6" t="n"/>
      <c r="M16" s="7">
        <f>F16*Settings!$B$4+G16*Settings!$B$5+H16*Settings!$B$6+I16*Settings!$B$7+J16*Settings!$B$8+K16*Settings!$B$9+L16*Settings!$B$10</f>
        <v/>
      </c>
      <c r="N16" s="8">
        <f>M16-INDEX(Settings!$G$4:$G$9,MATCH($E16,Settings!$F$4:$F$9,0))</f>
        <v/>
      </c>
      <c r="O16" s="7">
        <f>N16*INDEX(Settings!$H$4:$H$9,MATCH($E16,Settings!$F$4:$F$9,0))</f>
        <v/>
      </c>
      <c r="P16" s="3" t="inlineStr">
        <is>
          <t>HIGH</t>
        </is>
      </c>
      <c r="Q16" s="5" t="inlineStr"/>
    </row>
    <row r="17">
      <c r="A17" s="3" t="n">
        <v>94</v>
      </c>
      <c r="B17" s="4" t="inlineStr">
        <is>
          <t>QB15</t>
        </is>
      </c>
      <c r="C17" s="5" t="inlineStr">
        <is>
          <t>Patrick Mahomes</t>
        </is>
      </c>
      <c r="D17" s="3" t="inlineStr">
        <is>
          <t>KC</t>
        </is>
      </c>
      <c r="E17" s="4" t="inlineStr">
        <is>
          <t>QB</t>
        </is>
      </c>
      <c r="F17" s="6" t="n">
        <v>26</v>
      </c>
      <c r="G17" s="6" t="n">
        <v>3</v>
      </c>
      <c r="H17" s="6" t="n"/>
      <c r="I17" s="6" t="n"/>
      <c r="J17" s="6" t="n"/>
      <c r="K17" s="6" t="n"/>
      <c r="L17" s="6" t="n"/>
      <c r="M17" s="7">
        <f>F17*Settings!$B$4+G17*Settings!$B$5+H17*Settings!$B$6+I17*Settings!$B$7+J17*Settings!$B$8+K17*Settings!$B$9+L17*Settings!$B$10</f>
        <v/>
      </c>
      <c r="N17" s="8">
        <f>M17-INDEX(Settings!$G$4:$G$9,MATCH($E17,Settings!$F$4:$F$9,0))</f>
        <v/>
      </c>
      <c r="O17" s="7">
        <f>N17*INDEX(Settings!$H$4:$H$9,MATCH($E17,Settings!$F$4:$F$9,0))</f>
        <v/>
      </c>
      <c r="P17" s="3" t="inlineStr">
        <is>
          <t>MEDIUM</t>
        </is>
      </c>
      <c r="Q17" s="5" t="inlineStr">
        <is>
          <t>INJURY RISK: torn ACL+LCL 2025; no preseason snaps</t>
        </is>
      </c>
    </row>
    <row r="18">
      <c r="A18" s="3" t="n">
        <v>146</v>
      </c>
      <c r="B18" s="4" t="inlineStr">
        <is>
          <t>QB16</t>
        </is>
      </c>
      <c r="C18" s="5" t="inlineStr">
        <is>
          <t>Jared Goff</t>
        </is>
      </c>
      <c r="D18" s="3" t="inlineStr">
        <is>
          <t>DET</t>
        </is>
      </c>
      <c r="E18" s="4" t="inlineStr">
        <is>
          <t>QB</t>
        </is>
      </c>
      <c r="F18" s="6" t="n">
        <v>30</v>
      </c>
      <c r="G18" s="6" t="n">
        <v>0.5</v>
      </c>
      <c r="H18" s="6" t="n"/>
      <c r="I18" s="6" t="n"/>
      <c r="J18" s="6" t="n"/>
      <c r="K18" s="6" t="n"/>
      <c r="L18" s="6" t="n"/>
      <c r="M18" s="7">
        <f>F18*Settings!$B$4+G18*Settings!$B$5+H18*Settings!$B$6+I18*Settings!$B$7+J18*Settings!$B$8+K18*Settings!$B$9+L18*Settings!$B$10</f>
        <v/>
      </c>
      <c r="N18" s="8">
        <f>M18-INDEX(Settings!$G$4:$G$9,MATCH($E18,Settings!$F$4:$F$9,0))</f>
        <v/>
      </c>
      <c r="O18" s="7">
        <f>N18*INDEX(Settings!$H$4:$H$9,MATCH($E18,Settings!$F$4:$F$9,0))</f>
        <v/>
      </c>
      <c r="P18" s="3" t="inlineStr">
        <is>
          <t>MEDIUM</t>
        </is>
      </c>
      <c r="Q18" s="5" t="inlineStr">
        <is>
          <t>DET 26.1 implied pts; no rush value</t>
        </is>
      </c>
    </row>
    <row r="19">
      <c r="A19" s="3" t="n">
        <v>147</v>
      </c>
      <c r="B19" s="4" t="inlineStr">
        <is>
          <t>QB17</t>
        </is>
      </c>
      <c r="C19" s="5" t="inlineStr">
        <is>
          <t>Daniel Jones</t>
        </is>
      </c>
      <c r="D19" s="3" t="inlineStr">
        <is>
          <t>IND</t>
        </is>
      </c>
      <c r="E19" s="4" t="inlineStr">
        <is>
          <t>QB</t>
        </is>
      </c>
      <c r="F19" s="6" t="n">
        <v>21</v>
      </c>
      <c r="G19" s="6" t="n">
        <v>5</v>
      </c>
      <c r="H19" s="6" t="n"/>
      <c r="I19" s="6" t="n"/>
      <c r="J19" s="6" t="n"/>
      <c r="K19" s="6" t="n"/>
      <c r="L19" s="6" t="n"/>
      <c r="M19" s="7">
        <f>F19*Settings!$B$4+G19*Settings!$B$5+H19*Settings!$B$6+I19*Settings!$B$7+J19*Settings!$B$8+K19*Settings!$B$9+L19*Settings!$B$10</f>
        <v/>
      </c>
      <c r="N19" s="8">
        <f>M19-INDEX(Settings!$G$4:$G$9,MATCH($E19,Settings!$F$4:$F$9,0))</f>
        <v/>
      </c>
      <c r="O19" s="7">
        <f>N19*INDEX(Settings!$H$4:$H$9,MATCH($E19,Settings!$F$4:$F$9,0))</f>
        <v/>
      </c>
      <c r="P19" s="3" t="inlineStr">
        <is>
          <t>MEDIUM</t>
        </is>
      </c>
      <c r="Q19" s="5" t="inlineStr">
        <is>
          <t>VALUE: Clay 6 rush TD Razzball 7.3; nobody drafts him for that</t>
        </is>
      </c>
    </row>
    <row r="20">
      <c r="A20" s="3" t="n">
        <v>153</v>
      </c>
      <c r="B20" s="4" t="inlineStr">
        <is>
          <t>QB18</t>
        </is>
      </c>
      <c r="C20" s="5" t="inlineStr">
        <is>
          <t>Tyler Shough</t>
        </is>
      </c>
      <c r="D20" s="3" t="inlineStr">
        <is>
          <t>NO</t>
        </is>
      </c>
      <c r="E20" s="4" t="inlineStr">
        <is>
          <t>QB</t>
        </is>
      </c>
      <c r="F20" s="6" t="n">
        <v>21.5</v>
      </c>
      <c r="G20" s="6" t="n">
        <v>4.5</v>
      </c>
      <c r="H20" s="6" t="n"/>
      <c r="I20" s="6" t="n"/>
      <c r="J20" s="6" t="n"/>
      <c r="K20" s="6" t="n"/>
      <c r="L20" s="6" t="n"/>
      <c r="M20" s="7">
        <f>F20*Settings!$B$4+G20*Settings!$B$5+H20*Settings!$B$6+I20*Settings!$B$7+J20*Settings!$B$8+K20*Settings!$B$9+L20*Settings!$B$10</f>
        <v/>
      </c>
      <c r="N20" s="8">
        <f>M20-INDEX(Settings!$G$4:$G$9,MATCH($E20,Settings!$F$4:$F$9,0))</f>
        <v/>
      </c>
      <c r="O20" s="7">
        <f>N20*INDEX(Settings!$H$4:$H$9,MATCH($E20,Settings!$F$4:$F$9,0))</f>
        <v/>
      </c>
      <c r="P20" s="3" t="inlineStr">
        <is>
          <t>HIGH</t>
        </is>
      </c>
      <c r="Q20" s="5" t="inlineStr"/>
    </row>
    <row r="21">
      <c r="A21" s="3" t="n">
        <v>179</v>
      </c>
      <c r="B21" s="4" t="inlineStr">
        <is>
          <t>QB19</t>
        </is>
      </c>
      <c r="C21" s="5" t="inlineStr">
        <is>
          <t>Jordan Love</t>
        </is>
      </c>
      <c r="D21" s="3" t="inlineStr">
        <is>
          <t>GB</t>
        </is>
      </c>
      <c r="E21" s="4" t="inlineStr">
        <is>
          <t>QB</t>
        </is>
      </c>
      <c r="F21" s="6" t="n">
        <v>26.5</v>
      </c>
      <c r="G21" s="6" t="n">
        <v>1.5</v>
      </c>
      <c r="H21" s="6" t="n"/>
      <c r="I21" s="6" t="n"/>
      <c r="J21" s="6" t="n"/>
      <c r="K21" s="6" t="n"/>
      <c r="L21" s="6" t="n"/>
      <c r="M21" s="7">
        <f>F21*Settings!$B$4+G21*Settings!$B$5+H21*Settings!$B$6+I21*Settings!$B$7+J21*Settings!$B$8+K21*Settings!$B$9+L21*Settings!$B$10</f>
        <v/>
      </c>
      <c r="N21" s="8">
        <f>M21-INDEX(Settings!$G$4:$G$9,MATCH($E21,Settings!$F$4:$F$9,0))</f>
        <v/>
      </c>
      <c r="O21" s="7">
        <f>N21*INDEX(Settings!$H$4:$H$9,MATCH($E21,Settings!$F$4:$F$9,0))</f>
        <v/>
      </c>
      <c r="P21" s="3" t="inlineStr">
        <is>
          <t>HIGH</t>
        </is>
      </c>
      <c r="Q21" s="5" t="inlineStr"/>
    </row>
    <row r="22">
      <c r="A22" s="3" t="n">
        <v>197</v>
      </c>
      <c r="B22" s="4" t="inlineStr">
        <is>
          <t>QB20</t>
        </is>
      </c>
      <c r="C22" s="5" t="inlineStr">
        <is>
          <t>Baker Mayfield</t>
        </is>
      </c>
      <c r="D22" s="3" t="inlineStr">
        <is>
          <t>TB</t>
        </is>
      </c>
      <c r="E22" s="4" t="inlineStr">
        <is>
          <t>QB</t>
        </is>
      </c>
      <c r="F22" s="6" t="n">
        <v>25.5</v>
      </c>
      <c r="G22" s="6" t="n">
        <v>1.5</v>
      </c>
      <c r="H22" s="6" t="n"/>
      <c r="I22" s="6" t="n"/>
      <c r="J22" s="6" t="n"/>
      <c r="K22" s="6" t="n"/>
      <c r="L22" s="6" t="n"/>
      <c r="M22" s="7">
        <f>F22*Settings!$B$4+G22*Settings!$B$5+H22*Settings!$B$6+I22*Settings!$B$7+J22*Settings!$B$8+K22*Settings!$B$9+L22*Settings!$B$10</f>
        <v/>
      </c>
      <c r="N22" s="8">
        <f>M22-INDEX(Settings!$G$4:$G$9,MATCH($E22,Settings!$F$4:$F$9,0))</f>
        <v/>
      </c>
      <c r="O22" s="7">
        <f>N22*INDEX(Settings!$H$4:$H$9,MATCH($E22,Settings!$F$4:$F$9,0))</f>
        <v/>
      </c>
      <c r="P22" s="3" t="inlineStr">
        <is>
          <t>MEDIUM</t>
        </is>
      </c>
      <c r="Q22" s="5" t="inlineStr"/>
    </row>
    <row r="23">
      <c r="A23" s="3" t="n">
        <v>206</v>
      </c>
      <c r="B23" s="4" t="inlineStr">
        <is>
          <t>QB21</t>
        </is>
      </c>
      <c r="C23" s="5" t="inlineStr">
        <is>
          <t>Sam Darnold</t>
        </is>
      </c>
      <c r="D23" s="3" t="inlineStr">
        <is>
          <t>SEA</t>
        </is>
      </c>
      <c r="E23" s="4" t="inlineStr">
        <is>
          <t>QB</t>
        </is>
      </c>
      <c r="F23" s="6" t="n">
        <v>26</v>
      </c>
      <c r="G23" s="6" t="n">
        <v>1</v>
      </c>
      <c r="H23" s="6" t="n"/>
      <c r="I23" s="6" t="n"/>
      <c r="J23" s="6" t="n"/>
      <c r="K23" s="6" t="n"/>
      <c r="L23" s="6" t="n"/>
      <c r="M23" s="7">
        <f>F23*Settings!$B$4+G23*Settings!$B$5+H23*Settings!$B$6+I23*Settings!$B$7+J23*Settings!$B$8+K23*Settings!$B$9+L23*Settings!$B$10</f>
        <v/>
      </c>
      <c r="N23" s="8">
        <f>M23-INDEX(Settings!$G$4:$G$9,MATCH($E23,Settings!$F$4:$F$9,0))</f>
        <v/>
      </c>
      <c r="O23" s="7">
        <f>N23*INDEX(Settings!$H$4:$H$9,MATCH($E23,Settings!$F$4:$F$9,0))</f>
        <v/>
      </c>
      <c r="P23" s="3" t="inlineStr">
        <is>
          <t>HIGH</t>
        </is>
      </c>
      <c r="Q23" s="5" t="inlineStr"/>
    </row>
    <row r="24">
      <c r="A24" s="3" t="n">
        <v>211</v>
      </c>
      <c r="B24" s="4" t="inlineStr">
        <is>
          <t>QB22</t>
        </is>
      </c>
      <c r="C24" s="5" t="inlineStr">
        <is>
          <t>Kyler Murray</t>
        </is>
      </c>
      <c r="D24" s="3" t="inlineStr">
        <is>
          <t>MIN</t>
        </is>
      </c>
      <c r="E24" s="4" t="inlineStr">
        <is>
          <t>QB</t>
        </is>
      </c>
      <c r="F24" s="6" t="n">
        <v>21.5</v>
      </c>
      <c r="G24" s="6" t="n">
        <v>3</v>
      </c>
      <c r="H24" s="6" t="n"/>
      <c r="I24" s="6" t="n"/>
      <c r="J24" s="6" t="n"/>
      <c r="K24" s="6" t="n"/>
      <c r="L24" s="6" t="n"/>
      <c r="M24" s="7">
        <f>F24*Settings!$B$4+G24*Settings!$B$5+H24*Settings!$B$6+I24*Settings!$B$7+J24*Settings!$B$8+K24*Settings!$B$9+L24*Settings!$B$10</f>
        <v/>
      </c>
      <c r="N24" s="8">
        <f>M24-INDEX(Settings!$G$4:$G$9,MATCH($E24,Settings!$F$4:$F$9,0))</f>
        <v/>
      </c>
      <c r="O24" s="7">
        <f>N24*INDEX(Settings!$H$4:$H$9,MATCH($E24,Settings!$F$4:$F$9,0))</f>
        <v/>
      </c>
      <c r="P24" s="3" t="inlineStr">
        <is>
          <t>MEDIUM</t>
        </is>
      </c>
      <c r="Q24" s="5" t="inlineStr">
        <is>
          <t>Named Week 1 starter over McCarthy</t>
        </is>
      </c>
    </row>
    <row r="25">
      <c r="A25" s="3" t="n">
        <v>225</v>
      </c>
      <c r="B25" s="4" t="inlineStr">
        <is>
          <t>QB23</t>
        </is>
      </c>
      <c r="C25" s="5" t="inlineStr">
        <is>
          <t>Bryce Young</t>
        </is>
      </c>
      <c r="D25" s="3" t="inlineStr">
        <is>
          <t>CAR</t>
        </is>
      </c>
      <c r="E25" s="4" t="inlineStr">
        <is>
          <t>QB</t>
        </is>
      </c>
      <c r="F25" s="6" t="n">
        <v>21.5</v>
      </c>
      <c r="G25" s="6" t="n">
        <v>2.5</v>
      </c>
      <c r="H25" s="6" t="n"/>
      <c r="I25" s="6" t="n"/>
      <c r="J25" s="6" t="n"/>
      <c r="K25" s="6" t="n"/>
      <c r="L25" s="6" t="n"/>
      <c r="M25" s="7">
        <f>F25*Settings!$B$4+G25*Settings!$B$5+H25*Settings!$B$6+I25*Settings!$B$7+J25*Settings!$B$8+K25*Settings!$B$9+L25*Settings!$B$10</f>
        <v/>
      </c>
      <c r="N25" s="8">
        <f>M25-INDEX(Settings!$G$4:$G$9,MATCH($E25,Settings!$F$4:$F$9,0))</f>
        <v/>
      </c>
      <c r="O25" s="7">
        <f>N25*INDEX(Settings!$H$4:$H$9,MATCH($E25,Settings!$F$4:$F$9,0))</f>
        <v/>
      </c>
      <c r="P25" s="3" t="inlineStr">
        <is>
          <t>MEDIUM</t>
        </is>
      </c>
      <c r="Q25" s="5" t="inlineStr"/>
    </row>
    <row r="26">
      <c r="A26" s="3" t="n">
        <v>245</v>
      </c>
      <c r="B26" s="4" t="inlineStr">
        <is>
          <t>QB24</t>
        </is>
      </c>
      <c r="C26" s="5" t="inlineStr">
        <is>
          <t>C.J. Stroud</t>
        </is>
      </c>
      <c r="D26" s="3" t="inlineStr">
        <is>
          <t>HOU</t>
        </is>
      </c>
      <c r="E26" s="4" t="inlineStr">
        <is>
          <t>QB</t>
        </is>
      </c>
      <c r="F26" s="6" t="n">
        <v>22.5</v>
      </c>
      <c r="G26" s="6" t="n">
        <v>1.5</v>
      </c>
      <c r="H26" s="6" t="n"/>
      <c r="I26" s="6" t="n"/>
      <c r="J26" s="6" t="n"/>
      <c r="K26" s="6" t="n"/>
      <c r="L26" s="6" t="n"/>
      <c r="M26" s="7">
        <f>F26*Settings!$B$4+G26*Settings!$B$5+H26*Settings!$B$6+I26*Settings!$B$7+J26*Settings!$B$8+K26*Settings!$B$9+L26*Settings!$B$10</f>
        <v/>
      </c>
      <c r="N26" s="8">
        <f>M26-INDEX(Settings!$G$4:$G$9,MATCH($E26,Settings!$F$4:$F$9,0))</f>
        <v/>
      </c>
      <c r="O26" s="7">
        <f>N26*INDEX(Settings!$H$4:$H$9,MATCH($E26,Settings!$F$4:$F$9,0))</f>
        <v/>
      </c>
      <c r="P26" s="3" t="inlineStr">
        <is>
          <t>HIGH</t>
        </is>
      </c>
      <c r="Q26" s="5" t="inlineStr">
        <is>
          <t>Vegas is fading him</t>
        </is>
      </c>
    </row>
    <row r="27">
      <c r="A27" s="3" t="n">
        <v>253</v>
      </c>
      <c r="B27" s="4" t="inlineStr">
        <is>
          <t>QB25</t>
        </is>
      </c>
      <c r="C27" s="5" t="inlineStr">
        <is>
          <t>Aaron Rodgers</t>
        </is>
      </c>
      <c r="D27" s="3" t="inlineStr">
        <is>
          <t>PIT</t>
        </is>
      </c>
      <c r="E27" s="4" t="inlineStr">
        <is>
          <t>QB</t>
        </is>
      </c>
      <c r="F27" s="6" t="n">
        <v>22</v>
      </c>
      <c r="G27" s="6" t="n">
        <v>1</v>
      </c>
      <c r="H27" s="6" t="n"/>
      <c r="I27" s="6" t="n"/>
      <c r="J27" s="6" t="n"/>
      <c r="K27" s="6" t="n"/>
      <c r="L27" s="6" t="n"/>
      <c r="M27" s="7">
        <f>F27*Settings!$B$4+G27*Settings!$B$5+H27*Settings!$B$6+I27*Settings!$B$7+J27*Settings!$B$8+K27*Settings!$B$9+L27*Settings!$B$10</f>
        <v/>
      </c>
      <c r="N27" s="8">
        <f>M27-INDEX(Settings!$G$4:$G$9,MATCH($E27,Settings!$F$4:$F$9,0))</f>
        <v/>
      </c>
      <c r="O27" s="7">
        <f>N27*INDEX(Settings!$H$4:$H$9,MATCH($E27,Settings!$F$4:$F$9,0))</f>
        <v/>
      </c>
      <c r="P27" s="3" t="inlineStr">
        <is>
          <t>MEDIUM</t>
        </is>
      </c>
      <c r="Q27" s="5" t="inlineStr"/>
    </row>
    <row r="28">
      <c r="A28" s="3" t="n">
        <v>265</v>
      </c>
      <c r="B28" s="4" t="inlineStr">
        <is>
          <t>QB26</t>
        </is>
      </c>
      <c r="C28" s="5" t="inlineStr">
        <is>
          <t>Geno Smith</t>
        </is>
      </c>
      <c r="D28" s="3" t="inlineStr">
        <is>
          <t>NYJ</t>
        </is>
      </c>
      <c r="E28" s="4" t="inlineStr">
        <is>
          <t>QB</t>
        </is>
      </c>
      <c r="F28" s="6" t="n">
        <v>19.5</v>
      </c>
      <c r="G28" s="6" t="n">
        <v>1.5</v>
      </c>
      <c r="H28" s="6" t="n"/>
      <c r="I28" s="6" t="n"/>
      <c r="J28" s="6" t="n"/>
      <c r="K28" s="6" t="n"/>
      <c r="L28" s="6" t="n"/>
      <c r="M28" s="7">
        <f>F28*Settings!$B$4+G28*Settings!$B$5+H28*Settings!$B$6+I28*Settings!$B$7+J28*Settings!$B$8+K28*Settings!$B$9+L28*Settings!$B$10</f>
        <v/>
      </c>
      <c r="N28" s="8">
        <f>M28-INDEX(Settings!$G$4:$G$9,MATCH($E28,Settings!$F$4:$F$9,0))</f>
        <v/>
      </c>
      <c r="O28" s="7">
        <f>N28*INDEX(Settings!$H$4:$H$9,MATCH($E28,Settings!$F$4:$F$9,0))</f>
        <v/>
      </c>
      <c r="P28" s="3" t="inlineStr">
        <is>
          <t>MEDIUM</t>
        </is>
      </c>
      <c r="Q28" s="5" t="inlineStr">
        <is>
          <t>NYJ lowest implied total 18.4</t>
        </is>
      </c>
    </row>
    <row r="29">
      <c r="A29" s="3" t="n">
        <v>267</v>
      </c>
      <c r="B29" s="4" t="inlineStr">
        <is>
          <t>QB27</t>
        </is>
      </c>
      <c r="C29" s="5" t="inlineStr">
        <is>
          <t>Malik Willis</t>
        </is>
      </c>
      <c r="D29" s="3" t="inlineStr">
        <is>
          <t>MIA</t>
        </is>
      </c>
      <c r="E29" s="4" t="inlineStr">
        <is>
          <t>QB</t>
        </is>
      </c>
      <c r="F29" s="6" t="n">
        <v>14</v>
      </c>
      <c r="G29" s="6" t="n">
        <v>4</v>
      </c>
      <c r="H29" s="6" t="n"/>
      <c r="I29" s="6" t="n"/>
      <c r="J29" s="6" t="n"/>
      <c r="K29" s="6" t="n"/>
      <c r="L29" s="6" t="n"/>
      <c r="M29" s="7">
        <f>F29*Settings!$B$4+G29*Settings!$B$5+H29*Settings!$B$6+I29*Settings!$B$7+J29*Settings!$B$8+K29*Settings!$B$9+L29*Settings!$B$10</f>
        <v/>
      </c>
      <c r="N29" s="8">
        <f>M29-INDEX(Settings!$G$4:$G$9,MATCH($E29,Settings!$F$4:$F$9,0))</f>
        <v/>
      </c>
      <c r="O29" s="7">
        <f>N29*INDEX(Settings!$H$4:$H$9,MATCH($E29,Settings!$F$4:$F$9,0))</f>
        <v/>
      </c>
      <c r="P29" s="3" t="inlineStr">
        <is>
          <t>LOW</t>
        </is>
      </c>
      <c r="Q29" s="5" t="inlineStr">
        <is>
          <t>LOTTERY TICKET: Yahoo proj 7 rush TD Razzball 2.8</t>
        </is>
      </c>
    </row>
    <row r="30">
      <c r="A30" s="3" t="n">
        <v>271</v>
      </c>
      <c r="B30" s="4" t="inlineStr">
        <is>
          <t>QB28</t>
        </is>
      </c>
      <c r="C30" s="5" t="inlineStr">
        <is>
          <t>Cam Ward</t>
        </is>
      </c>
      <c r="D30" s="3" t="inlineStr">
        <is>
          <t>TEN</t>
        </is>
      </c>
      <c r="E30" s="4" t="inlineStr">
        <is>
          <t>QB</t>
        </is>
      </c>
      <c r="F30" s="6" t="n">
        <v>18.5</v>
      </c>
      <c r="G30" s="6" t="n">
        <v>1.5</v>
      </c>
      <c r="H30" s="6" t="n"/>
      <c r="I30" s="6" t="n"/>
      <c r="J30" s="6" t="n"/>
      <c r="K30" s="6" t="n"/>
      <c r="L30" s="6" t="n"/>
      <c r="M30" s="7">
        <f>F30*Settings!$B$4+G30*Settings!$B$5+H30*Settings!$B$6+I30*Settings!$B$7+J30*Settings!$B$8+K30*Settings!$B$9+L30*Settings!$B$10</f>
        <v/>
      </c>
      <c r="N30" s="8">
        <f>M30-INDEX(Settings!$G$4:$G$9,MATCH($E30,Settings!$F$4:$F$9,0))</f>
        <v/>
      </c>
      <c r="O30" s="7">
        <f>N30*INDEX(Settings!$H$4:$H$9,MATCH($E30,Settings!$F$4:$F$9,0))</f>
        <v/>
      </c>
      <c r="P30" s="3" t="inlineStr">
        <is>
          <t>MEDIUM</t>
        </is>
      </c>
      <c r="Q30" s="5" t="inlineStr"/>
    </row>
    <row r="31">
      <c r="A31" s="3" t="n">
        <v>280</v>
      </c>
      <c r="B31" s="4" t="inlineStr">
        <is>
          <t>QB29</t>
        </is>
      </c>
      <c r="C31" s="5" t="inlineStr">
        <is>
          <t>Jacoby Brissett</t>
        </is>
      </c>
      <c r="D31" s="3" t="inlineStr">
        <is>
          <t>ARI</t>
        </is>
      </c>
      <c r="E31" s="4" t="inlineStr">
        <is>
          <t>QB</t>
        </is>
      </c>
      <c r="F31" s="6" t="n">
        <v>18</v>
      </c>
      <c r="G31" s="6" t="n">
        <v>1</v>
      </c>
      <c r="H31" s="6" t="n"/>
      <c r="I31" s="6" t="n"/>
      <c r="J31" s="6" t="n"/>
      <c r="K31" s="6" t="n"/>
      <c r="L31" s="6" t="n"/>
      <c r="M31" s="7">
        <f>F31*Settings!$B$4+G31*Settings!$B$5+H31*Settings!$B$6+I31*Settings!$B$7+J31*Settings!$B$8+K31*Settings!$B$9+L31*Settings!$B$10</f>
        <v/>
      </c>
      <c r="N31" s="8">
        <f>M31-INDEX(Settings!$G$4:$G$9,MATCH($E31,Settings!$F$4:$F$9,0))</f>
        <v/>
      </c>
      <c r="O31" s="7">
        <f>N31*INDEX(Settings!$H$4:$H$9,MATCH($E31,Settings!$F$4:$F$9,0))</f>
        <v/>
      </c>
      <c r="P31" s="3" t="inlineStr">
        <is>
          <t>MEDIUM</t>
        </is>
      </c>
      <c r="Q31" s="5" t="inlineStr">
        <is>
          <t>ARI 3.5 win total worst in NFL</t>
        </is>
      </c>
    </row>
    <row r="32">
      <c r="A32" s="3" t="n">
        <v>281</v>
      </c>
      <c r="B32" s="4" t="inlineStr">
        <is>
          <t>QB30</t>
        </is>
      </c>
      <c r="C32" s="5" t="inlineStr">
        <is>
          <t>Fernando Mendoza</t>
        </is>
      </c>
      <c r="D32" s="3" t="inlineStr">
        <is>
          <t>LV</t>
        </is>
      </c>
      <c r="E32" s="4" t="inlineStr">
        <is>
          <t>QB</t>
        </is>
      </c>
      <c r="F32" s="6" t="n">
        <v>13</v>
      </c>
      <c r="G32" s="6" t="n">
        <v>1.5</v>
      </c>
      <c r="H32" s="6" t="n"/>
      <c r="I32" s="6" t="n"/>
      <c r="J32" s="6" t="n"/>
      <c r="K32" s="6" t="n"/>
      <c r="L32" s="6" t="n"/>
      <c r="M32" s="7">
        <f>F32*Settings!$B$4+G32*Settings!$B$5+H32*Settings!$B$6+I32*Settings!$B$7+J32*Settings!$B$8+K32*Settings!$B$9+L32*Settings!$B$10</f>
        <v/>
      </c>
      <c r="N32" s="8">
        <f>M32-INDEX(Settings!$G$4:$G$9,MATCH($E32,Settings!$F$4:$F$9,0))</f>
        <v/>
      </c>
      <c r="O32" s="7">
        <f>N32*INDEX(Settings!$H$4:$H$9,MATCH($E32,Settings!$F$4:$F$9,0))</f>
        <v/>
      </c>
      <c r="P32" s="3" t="inlineStr">
        <is>
          <t>LOW</t>
        </is>
      </c>
      <c r="Q32" s="5" t="inlineStr">
        <is>
          <t>Rookie No.1 overall; Cousins starts Week 1 but handoff expected</t>
        </is>
      </c>
    </row>
    <row r="33">
      <c r="A33" s="3" t="n">
        <v>282</v>
      </c>
      <c r="B33" s="4" t="inlineStr">
        <is>
          <t>QB31</t>
        </is>
      </c>
      <c r="C33" s="5" t="inlineStr">
        <is>
          <t>Shedeur Sanders</t>
        </is>
      </c>
      <c r="D33" s="3" t="inlineStr">
        <is>
          <t>CLE</t>
        </is>
      </c>
      <c r="E33" s="4" t="inlineStr">
        <is>
          <t>QB</t>
        </is>
      </c>
      <c r="F33" s="6" t="n">
        <v>11</v>
      </c>
      <c r="G33" s="6" t="n">
        <v>1.5</v>
      </c>
      <c r="H33" s="6" t="n"/>
      <c r="I33" s="6" t="n"/>
      <c r="J33" s="6" t="n"/>
      <c r="K33" s="6" t="n"/>
      <c r="L33" s="6" t="n"/>
      <c r="M33" s="7">
        <f>F33*Settings!$B$4+G33*Settings!$B$5+H33*Settings!$B$6+I33*Settings!$B$7+J33*Settings!$B$8+K33*Settings!$B$9+L33*Settings!$B$10</f>
        <v/>
      </c>
      <c r="N33" s="8">
        <f>M33-INDEX(Settings!$G$4:$G$9,MATCH($E33,Settings!$F$4:$F$9,0))</f>
        <v/>
      </c>
      <c r="O33" s="7">
        <f>N33*INDEX(Settings!$H$4:$H$9,MATCH($E33,Settings!$F$4:$F$9,0))</f>
        <v/>
      </c>
      <c r="P33" s="3" t="inlineStr">
        <is>
          <t>LOW</t>
        </is>
      </c>
      <c r="Q33" s="5" t="inlineStr">
        <is>
          <t>Watson named starter but Clay projects Sanders more volume</t>
        </is>
      </c>
    </row>
    <row r="34">
      <c r="A34" s="3" t="n">
        <v>283</v>
      </c>
      <c r="B34" s="4" t="inlineStr">
        <is>
          <t>QB32</t>
        </is>
      </c>
      <c r="C34" s="5" t="inlineStr">
        <is>
          <t>Tua Tagovailoa</t>
        </is>
      </c>
      <c r="D34" s="3" t="inlineStr">
        <is>
          <t>ATL</t>
        </is>
      </c>
      <c r="E34" s="4" t="inlineStr">
        <is>
          <t>QB</t>
        </is>
      </c>
      <c r="F34" s="6" t="n">
        <v>12</v>
      </c>
      <c r="G34" s="6" t="n"/>
      <c r="H34" s="6" t="n"/>
      <c r="I34" s="6" t="n"/>
      <c r="J34" s="6" t="n"/>
      <c r="K34" s="6" t="n"/>
      <c r="L34" s="6" t="n"/>
      <c r="M34" s="7">
        <f>F34*Settings!$B$4+G34*Settings!$B$5+H34*Settings!$B$6+I34*Settings!$B$7+J34*Settings!$B$8+K34*Settings!$B$9+L34*Settings!$B$10</f>
        <v/>
      </c>
      <c r="N34" s="8">
        <f>M34-INDEX(Settings!$G$4:$G$9,MATCH($E34,Settings!$F$4:$F$9,0))</f>
        <v/>
      </c>
      <c r="O34" s="7">
        <f>N34*INDEX(Settings!$H$4:$H$9,MATCH($E34,Settings!$F$4:$F$9,0))</f>
        <v/>
      </c>
      <c r="P34" s="3" t="inlineStr">
        <is>
          <t>LOW</t>
        </is>
      </c>
      <c r="Q34" s="5" t="inlineStr">
        <is>
          <t>ATL QB job unsettled; no rush value either way</t>
        </is>
      </c>
    </row>
    <row r="35">
      <c r="A35" s="3" t="n">
        <v>284</v>
      </c>
      <c r="B35" s="4" t="inlineStr">
        <is>
          <t>QB33</t>
        </is>
      </c>
      <c r="C35" s="5" t="inlineStr">
        <is>
          <t>Deshaun Watson</t>
        </is>
      </c>
      <c r="D35" s="3" t="inlineStr">
        <is>
          <t>CLE</t>
        </is>
      </c>
      <c r="E35" s="4" t="inlineStr">
        <is>
          <t>QB</t>
        </is>
      </c>
      <c r="F35" s="6" t="n">
        <v>10</v>
      </c>
      <c r="G35" s="6" t="n">
        <v>1</v>
      </c>
      <c r="H35" s="6" t="n"/>
      <c r="I35" s="6" t="n"/>
      <c r="J35" s="6" t="n"/>
      <c r="K35" s="6" t="n"/>
      <c r="L35" s="6" t="n"/>
      <c r="M35" s="7">
        <f>F35*Settings!$B$4+G35*Settings!$B$5+H35*Settings!$B$6+I35*Settings!$B$7+J35*Settings!$B$8+K35*Settings!$B$9+L35*Settings!$B$10</f>
        <v/>
      </c>
      <c r="N35" s="8">
        <f>M35-INDEX(Settings!$G$4:$G$9,MATCH($E35,Settings!$F$4:$F$9,0))</f>
        <v/>
      </c>
      <c r="O35" s="7">
        <f>N35*INDEX(Settings!$H$4:$H$9,MATCH($E35,Settings!$F$4:$F$9,0))</f>
        <v/>
      </c>
      <c r="P35" s="3" t="inlineStr">
        <is>
          <t>LOW</t>
        </is>
      </c>
      <c r="Q35" s="5" t="inlineStr">
        <is>
          <t>Named Week 1 starter; sources conflict badly</t>
        </is>
      </c>
    </row>
    <row r="36">
      <c r="A36" s="3" t="n">
        <v>285</v>
      </c>
      <c r="B36" s="4" t="inlineStr">
        <is>
          <t>QB34</t>
        </is>
      </c>
      <c r="C36" s="5" t="inlineStr">
        <is>
          <t>Michael Penix Jr.</t>
        </is>
      </c>
      <c r="D36" s="3" t="inlineStr">
        <is>
          <t>ATL</t>
        </is>
      </c>
      <c r="E36" s="4" t="inlineStr">
        <is>
          <t>QB</t>
        </is>
      </c>
      <c r="F36" s="6" t="n">
        <v>8</v>
      </c>
      <c r="G36" s="6" t="n">
        <v>1</v>
      </c>
      <c r="H36" s="6" t="n"/>
      <c r="I36" s="6" t="n"/>
      <c r="J36" s="6" t="n"/>
      <c r="K36" s="6" t="n"/>
      <c r="L36" s="6" t="n"/>
      <c r="M36" s="7">
        <f>F36*Settings!$B$4+G36*Settings!$B$5+H36*Settings!$B$6+I36*Settings!$B$7+J36*Settings!$B$8+K36*Settings!$B$9+L36*Settings!$B$10</f>
        <v/>
      </c>
      <c r="N36" s="8">
        <f>M36-INDEX(Settings!$G$4:$G$9,MATCH($E36,Settings!$F$4:$F$9,0))</f>
        <v/>
      </c>
      <c r="O36" s="7">
        <f>N36*INDEX(Settings!$H$4:$H$9,MATCH($E36,Settings!$F$4:$F$9,0))</f>
        <v/>
      </c>
      <c r="P36" s="3" t="inlineStr">
        <is>
          <t>LOW</t>
        </is>
      </c>
      <c r="Q36" s="5" t="inlineStr">
        <is>
          <t>Recovering from torn ACL not fully cleared</t>
        </is>
      </c>
    </row>
    <row r="37">
      <c r="A37" s="3" t="n">
        <v>286</v>
      </c>
      <c r="B37" s="4" t="inlineStr">
        <is>
          <t>QB35</t>
        </is>
      </c>
      <c r="C37" s="5" t="inlineStr">
        <is>
          <t>Kirk Cousins</t>
        </is>
      </c>
      <c r="D37" s="3" t="inlineStr">
        <is>
          <t>LV</t>
        </is>
      </c>
      <c r="E37" s="4" t="inlineStr">
        <is>
          <t>QB</t>
        </is>
      </c>
      <c r="F37" s="6" t="n">
        <v>6</v>
      </c>
      <c r="G37" s="6" t="n"/>
      <c r="H37" s="6" t="n"/>
      <c r="I37" s="6" t="n"/>
      <c r="J37" s="6" t="n"/>
      <c r="K37" s="6" t="n"/>
      <c r="L37" s="6" t="n"/>
      <c r="M37" s="7">
        <f>F37*Settings!$B$4+G37*Settings!$B$5+H37*Settings!$B$6+I37*Settings!$B$7+J37*Settings!$B$8+K37*Settings!$B$9+L37*Settings!$B$10</f>
        <v/>
      </c>
      <c r="N37" s="8">
        <f>M37-INDEX(Settings!$G$4:$G$9,MATCH($E37,Settings!$F$4:$F$9,0))</f>
        <v/>
      </c>
      <c r="O37" s="7">
        <f>N37*INDEX(Settings!$H$4:$H$9,MATCH($E37,Settings!$F$4:$F$9,0))</f>
        <v/>
      </c>
      <c r="P37" s="3" t="inlineStr">
        <is>
          <t>LOW</t>
        </is>
      </c>
      <c r="Q37" s="5" t="inlineStr"/>
    </row>
    <row r="38">
      <c r="A38" s="3" t="n">
        <v>287</v>
      </c>
      <c r="B38" s="4" t="inlineStr">
        <is>
          <t>QB36</t>
        </is>
      </c>
      <c r="C38" s="5" t="inlineStr">
        <is>
          <t>J.J. McCarthy</t>
        </is>
      </c>
      <c r="D38" s="3" t="inlineStr">
        <is>
          <t>MIN</t>
        </is>
      </c>
      <c r="E38" s="4" t="inlineStr">
        <is>
          <t>QB</t>
        </is>
      </c>
      <c r="F38" s="6" t="n">
        <v>3</v>
      </c>
      <c r="G38" s="6" t="n">
        <v>1</v>
      </c>
      <c r="H38" s="6" t="n"/>
      <c r="I38" s="6" t="n"/>
      <c r="J38" s="6" t="n"/>
      <c r="K38" s="6" t="n"/>
      <c r="L38" s="6" t="n"/>
      <c r="M38" s="7">
        <f>F38*Settings!$B$4+G38*Settings!$B$5+H38*Settings!$B$6+I38*Settings!$B$7+J38*Settings!$B$8+K38*Settings!$B$9+L38*Settings!$B$10</f>
        <v/>
      </c>
      <c r="N38" s="8">
        <f>M38-INDEX(Settings!$G$4:$G$9,MATCH($E38,Settings!$F$4:$F$9,0))</f>
        <v/>
      </c>
      <c r="O38" s="7">
        <f>N38*INDEX(Settings!$H$4:$H$9,MATCH($E38,Settings!$F$4:$F$9,0))</f>
        <v/>
      </c>
      <c r="P38" s="3" t="inlineStr">
        <is>
          <t>LOW</t>
        </is>
      </c>
      <c r="Q38" s="5" t="inlineStr">
        <is>
          <t>Lost job to Murray</t>
        </is>
      </c>
    </row>
    <row r="39">
      <c r="A39" s="3" t="n">
        <v>288</v>
      </c>
      <c r="B39" s="4" t="inlineStr">
        <is>
          <t>QB37</t>
        </is>
      </c>
      <c r="C39" s="5" t="inlineStr">
        <is>
          <t>Justin Fields</t>
        </is>
      </c>
      <c r="D39" s="3" t="inlineStr">
        <is>
          <t>KC</t>
        </is>
      </c>
      <c r="E39" s="4" t="inlineStr">
        <is>
          <t>QB</t>
        </is>
      </c>
      <c r="F39" s="6" t="n">
        <v>1</v>
      </c>
      <c r="G39" s="6" t="n">
        <v>1</v>
      </c>
      <c r="H39" s="6" t="n"/>
      <c r="I39" s="6" t="n"/>
      <c r="J39" s="6" t="n"/>
      <c r="K39" s="6" t="n"/>
      <c r="L39" s="6" t="n"/>
      <c r="M39" s="7">
        <f>F39*Settings!$B$4+G39*Settings!$B$5+H39*Settings!$B$6+I39*Settings!$B$7+J39*Settings!$B$8+K39*Settings!$B$9+L39*Settings!$B$10</f>
        <v/>
      </c>
      <c r="N39" s="8">
        <f>M39-INDEX(Settings!$G$4:$G$9,MATCH($E39,Settings!$F$4:$F$9,0))</f>
        <v/>
      </c>
      <c r="O39" s="7">
        <f>N39*INDEX(Settings!$H$4:$H$9,MATCH($E39,Settings!$F$4:$F$9,0))</f>
        <v/>
      </c>
      <c r="P39" s="3" t="inlineStr">
        <is>
          <t>LOW</t>
        </is>
      </c>
      <c r="Q39" s="5" t="inlineStr">
        <is>
          <t>BEST HANDCUFF IN FORMAT: rushing QB behind Mahomes ACL recovery</t>
        </is>
      </c>
    </row>
  </sheetData>
  <autoFilter ref="A2:Q39"/>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5" customWidth="1" min="4" max="4"/>
    <col width="5" customWidth="1" min="5" max="5"/>
    <col width="8" customWidth="1" min="6" max="6"/>
    <col width="8" customWidth="1" min="7" max="7"/>
    <col width="8" customWidth="1" min="8" max="8"/>
    <col width="6" customWidth="1" min="9" max="9"/>
    <col width="6" customWidth="1" min="10" max="10"/>
    <col width="7" customWidth="1" min="11" max="11"/>
    <col width="6" customWidth="1" min="12" max="12"/>
    <col width="9" customWidth="1" min="13" max="13"/>
    <col width="8" customWidth="1" min="14" max="14"/>
    <col width="9" customWidth="1" min="15" max="15"/>
    <col width="8" customWidth="1" min="16" max="16"/>
    <col width="62" customWidth="1" min="17" max="17"/>
  </cols>
  <sheetData>
    <row r="1" ht="20" customHeight="1">
      <c r="A1" s="1" t="inlineStr">
        <is>
          <t>RB — ranked by projected points</t>
        </is>
      </c>
    </row>
    <row r="2" ht="26" customHeight="1">
      <c r="A2" s="2" t="inlineStr">
        <is>
          <t>Rank</t>
        </is>
      </c>
      <c r="B2" s="2" t="inlineStr">
        <is>
          <t>Pos</t>
        </is>
      </c>
      <c r="C2" s="2" t="inlineStr">
        <is>
          <t>Player</t>
        </is>
      </c>
      <c r="D2" s="2" t="inlineStr">
        <is>
          <t>Tm</t>
        </is>
      </c>
      <c r="E2" s="2" t="inlineStr">
        <is>
          <t>P</t>
        </is>
      </c>
      <c r="F2" s="2" t="inlineStr">
        <is>
          <t>PassTD</t>
        </is>
      </c>
      <c r="G2" s="2" t="inlineStr">
        <is>
          <t>RushTD</t>
        </is>
      </c>
      <c r="H2" s="2" t="inlineStr">
        <is>
          <t>RecTD</t>
        </is>
      </c>
      <c r="I2" s="2" t="inlineStr">
        <is>
          <t>FG</t>
        </is>
      </c>
      <c r="J2" s="2" t="inlineStr">
        <is>
          <t>PAT</t>
        </is>
      </c>
      <c r="K2" s="2" t="inlineStr">
        <is>
          <t>DefTD</t>
        </is>
      </c>
      <c r="L2" s="2" t="inlineStr">
        <is>
          <t>Saf</t>
        </is>
      </c>
      <c r="M2" s="2" t="inlineStr">
        <is>
          <t>Points</t>
        </is>
      </c>
      <c r="N2" s="2" t="inlineStr">
        <is>
          <t>VOR</t>
        </is>
      </c>
      <c r="O2" s="2" t="inlineStr">
        <is>
          <t>Adj VOR</t>
        </is>
      </c>
      <c r="P2" s="2" t="inlineStr">
        <is>
          <t>Conf</t>
        </is>
      </c>
      <c r="Q2" s="2" t="inlineStr">
        <is>
          <t>Notes</t>
        </is>
      </c>
    </row>
    <row r="3">
      <c r="A3" s="3" t="n">
        <v>2</v>
      </c>
      <c r="B3" s="9" t="inlineStr">
        <is>
          <t>RB1</t>
        </is>
      </c>
      <c r="C3" s="5" t="inlineStr">
        <is>
          <t>Jahmyr Gibbs</t>
        </is>
      </c>
      <c r="D3" s="3" t="inlineStr">
        <is>
          <t>DET</t>
        </is>
      </c>
      <c r="E3" s="9" t="inlineStr">
        <is>
          <t>RB</t>
        </is>
      </c>
      <c r="F3" s="6" t="n"/>
      <c r="G3" s="6" t="n">
        <v>13.4</v>
      </c>
      <c r="H3" s="6" t="n">
        <v>3.8</v>
      </c>
      <c r="I3" s="6" t="n"/>
      <c r="J3" s="6" t="n"/>
      <c r="K3" s="6" t="n"/>
      <c r="L3" s="6" t="n"/>
      <c r="M3" s="7">
        <f>F3*Settings!$B$4+G3*Settings!$B$5+H3*Settings!$B$6+I3*Settings!$B$7+J3*Settings!$B$8+K3*Settings!$B$9+L3*Settings!$B$10</f>
        <v/>
      </c>
      <c r="N3" s="8">
        <f>M3-INDEX(Settings!$G$4:$G$9,MATCH($E3,Settings!$F$4:$F$9,0))</f>
        <v/>
      </c>
      <c r="O3" s="7">
        <f>N3*INDEX(Settings!$H$4:$H$9,MATCH($E3,Settings!$F$4:$F$9,0))</f>
        <v/>
      </c>
      <c r="P3" s="3" t="inlineStr">
        <is>
          <t>HIGH</t>
        </is>
      </c>
      <c r="Q3" s="5" t="inlineStr">
        <is>
          <t>Overall RB1</t>
        </is>
      </c>
    </row>
    <row r="4">
      <c r="A4" s="3" t="n">
        <v>3</v>
      </c>
      <c r="B4" s="9" t="inlineStr">
        <is>
          <t>RB2</t>
        </is>
      </c>
      <c r="C4" s="5" t="inlineStr">
        <is>
          <t>Jonathan Taylor</t>
        </is>
      </c>
      <c r="D4" s="3" t="inlineStr">
        <is>
          <t>IND</t>
        </is>
      </c>
      <c r="E4" s="9" t="inlineStr">
        <is>
          <t>RB</t>
        </is>
      </c>
      <c r="F4" s="6" t="n"/>
      <c r="G4" s="6" t="n">
        <v>12.2</v>
      </c>
      <c r="H4" s="6" t="n">
        <v>1.3</v>
      </c>
      <c r="I4" s="6" t="n"/>
      <c r="J4" s="6" t="n"/>
      <c r="K4" s="6" t="n"/>
      <c r="L4" s="6" t="n"/>
      <c r="M4" s="7">
        <f>F4*Settings!$B$4+G4*Settings!$B$5+H4*Settings!$B$6+I4*Settings!$B$7+J4*Settings!$B$8+K4*Settings!$B$9+L4*Settings!$B$10</f>
        <v/>
      </c>
      <c r="N4" s="8">
        <f>M4-INDEX(Settings!$G$4:$G$9,MATCH($E4,Settings!$F$4:$F$9,0))</f>
        <v/>
      </c>
      <c r="O4" s="7">
        <f>N4*INDEX(Settings!$H$4:$H$9,MATCH($E4,Settings!$F$4:$F$9,0))</f>
        <v/>
      </c>
      <c r="P4" s="3" t="inlineStr">
        <is>
          <t>HIGH</t>
        </is>
      </c>
      <c r="Q4" s="5" t="inlineStr">
        <is>
          <t>True goal-line back</t>
        </is>
      </c>
    </row>
    <row r="5">
      <c r="A5" s="3" t="n">
        <v>4</v>
      </c>
      <c r="B5" s="9" t="inlineStr">
        <is>
          <t>RB3</t>
        </is>
      </c>
      <c r="C5" s="5" t="inlineStr">
        <is>
          <t>Christian McCaffrey</t>
        </is>
      </c>
      <c r="D5" s="3" t="inlineStr">
        <is>
          <t>SF</t>
        </is>
      </c>
      <c r="E5" s="9" t="inlineStr">
        <is>
          <t>RB</t>
        </is>
      </c>
      <c r="F5" s="6" t="n"/>
      <c r="G5" s="6" t="n">
        <v>9</v>
      </c>
      <c r="H5" s="6" t="n">
        <v>4.4</v>
      </c>
      <c r="I5" s="6" t="n"/>
      <c r="J5" s="6" t="n"/>
      <c r="K5" s="6" t="n"/>
      <c r="L5" s="6" t="n"/>
      <c r="M5" s="7">
        <f>F5*Settings!$B$4+G5*Settings!$B$5+H5*Settings!$B$6+I5*Settings!$B$7+J5*Settings!$B$8+K5*Settings!$B$9+L5*Settings!$B$10</f>
        <v/>
      </c>
      <c r="N5" s="8">
        <f>M5-INDEX(Settings!$G$4:$G$9,MATCH($E5,Settings!$F$4:$F$9,0))</f>
        <v/>
      </c>
      <c r="O5" s="7">
        <f>N5*INDEX(Settings!$H$4:$H$9,MATCH($E5,Settings!$F$4:$F$9,0))</f>
        <v/>
      </c>
      <c r="P5" s="3" t="inlineStr">
        <is>
          <t>HIGH</t>
        </is>
      </c>
      <c r="Q5" s="5" t="inlineStr">
        <is>
          <t>Goal-line yes</t>
        </is>
      </c>
    </row>
    <row r="6">
      <c r="A6" s="3" t="n">
        <v>5</v>
      </c>
      <c r="B6" s="9" t="inlineStr">
        <is>
          <t>RB4</t>
        </is>
      </c>
      <c r="C6" s="5" t="inlineStr">
        <is>
          <t>Derrick Henry</t>
        </is>
      </c>
      <c r="D6" s="3" t="inlineStr">
        <is>
          <t>BAL</t>
        </is>
      </c>
      <c r="E6" s="9" t="inlineStr">
        <is>
          <t>RB</t>
        </is>
      </c>
      <c r="F6" s="6" t="n"/>
      <c r="G6" s="6" t="n">
        <v>12.8</v>
      </c>
      <c r="H6" s="6" t="n">
        <v>0.6</v>
      </c>
      <c r="I6" s="6" t="n"/>
      <c r="J6" s="6" t="n"/>
      <c r="K6" s="6" t="n"/>
      <c r="L6" s="6" t="n"/>
      <c r="M6" s="7">
        <f>F6*Settings!$B$4+G6*Settings!$B$5+H6*Settings!$B$6+I6*Settings!$B$7+J6*Settings!$B$8+K6*Settings!$B$9+L6*Settings!$B$10</f>
        <v/>
      </c>
      <c r="N6" s="8">
        <f>M6-INDEX(Settings!$G$4:$G$9,MATCH($E6,Settings!$F$4:$F$9,0))</f>
        <v/>
      </c>
      <c r="O6" s="7">
        <f>N6*INDEX(Settings!$H$4:$H$9,MATCH($E6,Settings!$F$4:$F$9,0))</f>
        <v/>
      </c>
      <c r="P6" s="3" t="inlineStr">
        <is>
          <t>HIGH</t>
        </is>
      </c>
      <c r="Q6" s="5" t="inlineStr">
        <is>
          <t>Vegas HIGHER than consensus here</t>
        </is>
      </c>
    </row>
    <row r="7">
      <c r="A7" s="3" t="n">
        <v>7</v>
      </c>
      <c r="B7" s="9" t="inlineStr">
        <is>
          <t>RB5</t>
        </is>
      </c>
      <c r="C7" s="5" t="inlineStr">
        <is>
          <t>James Cook III</t>
        </is>
      </c>
      <c r="D7" s="3" t="inlineStr">
        <is>
          <t>BUF</t>
        </is>
      </c>
      <c r="E7" s="9" t="inlineStr">
        <is>
          <t>RB</t>
        </is>
      </c>
      <c r="F7" s="6" t="n"/>
      <c r="G7" s="6" t="n">
        <v>10.8</v>
      </c>
      <c r="H7" s="6" t="n">
        <v>1.8</v>
      </c>
      <c r="I7" s="6" t="n"/>
      <c r="J7" s="6" t="n"/>
      <c r="K7" s="6" t="n"/>
      <c r="L7" s="6" t="n"/>
      <c r="M7" s="7">
        <f>F7*Settings!$B$4+G7*Settings!$B$5+H7*Settings!$B$6+I7*Settings!$B$7+J7*Settings!$B$8+K7*Settings!$B$9+L7*Settings!$B$10</f>
        <v/>
      </c>
      <c r="N7" s="8">
        <f>M7-INDEX(Settings!$G$4:$G$9,MATCH($E7,Settings!$F$4:$F$9,0))</f>
        <v/>
      </c>
      <c r="O7" s="7">
        <f>N7*INDEX(Settings!$H$4:$H$9,MATCH($E7,Settings!$F$4:$F$9,0))</f>
        <v/>
      </c>
      <c r="P7" s="3" t="inlineStr">
        <is>
          <t>HIGH</t>
        </is>
      </c>
      <c r="Q7" s="5" t="inlineStr">
        <is>
          <t>Allen vulture tax already priced into line</t>
        </is>
      </c>
    </row>
    <row r="8">
      <c r="A8" s="3" t="n">
        <v>8</v>
      </c>
      <c r="B8" s="9" t="inlineStr">
        <is>
          <t>RB6</t>
        </is>
      </c>
      <c r="C8" s="5" t="inlineStr">
        <is>
          <t>Josh Jacobs</t>
        </is>
      </c>
      <c r="D8" s="3" t="inlineStr">
        <is>
          <t>GB</t>
        </is>
      </c>
      <c r="E8" s="9" t="inlineStr">
        <is>
          <t>RB</t>
        </is>
      </c>
      <c r="F8" s="6" t="n"/>
      <c r="G8" s="6" t="n">
        <v>11.3</v>
      </c>
      <c r="H8" s="6" t="n">
        <v>1.3</v>
      </c>
      <c r="I8" s="6" t="n"/>
      <c r="J8" s="6" t="n"/>
      <c r="K8" s="6" t="n"/>
      <c r="L8" s="6" t="n"/>
      <c r="M8" s="7">
        <f>F8*Settings!$B$4+G8*Settings!$B$5+H8*Settings!$B$6+I8*Settings!$B$7+J8*Settings!$B$8+K8*Settings!$B$9+L8*Settings!$B$10</f>
        <v/>
      </c>
      <c r="N8" s="8">
        <f>M8-INDEX(Settings!$G$4:$G$9,MATCH($E8,Settings!$F$4:$F$9,0))</f>
        <v/>
      </c>
      <c r="O8" s="7">
        <f>N8*INDEX(Settings!$H$4:$H$9,MATCH($E8,Settings!$F$4:$F$9,0))</f>
        <v/>
      </c>
      <c r="P8" s="3" t="inlineStr">
        <is>
          <t>HIGH</t>
        </is>
      </c>
      <c r="Q8" s="5" t="inlineStr">
        <is>
          <t>Goal-line yes</t>
        </is>
      </c>
    </row>
    <row r="9">
      <c r="A9" s="3" t="n">
        <v>10</v>
      </c>
      <c r="B9" s="9" t="inlineStr">
        <is>
          <t>RB7</t>
        </is>
      </c>
      <c r="C9" s="5" t="inlineStr">
        <is>
          <t>Bijan Robinson</t>
        </is>
      </c>
      <c r="D9" s="3" t="inlineStr">
        <is>
          <t>ATL</t>
        </is>
      </c>
      <c r="E9" s="9" t="inlineStr">
        <is>
          <t>RB</t>
        </is>
      </c>
      <c r="F9" s="6" t="n"/>
      <c r="G9" s="6" t="n">
        <v>8.699999999999999</v>
      </c>
      <c r="H9" s="6" t="n">
        <v>3.3</v>
      </c>
      <c r="I9" s="6" t="n"/>
      <c r="J9" s="6" t="n"/>
      <c r="K9" s="6" t="n"/>
      <c r="L9" s="6" t="n"/>
      <c r="M9" s="7">
        <f>F9*Settings!$B$4+G9*Settings!$B$5+H9*Settings!$B$6+I9*Settings!$B$7+J9*Settings!$B$8+K9*Settings!$B$9+L9*Settings!$B$10</f>
        <v/>
      </c>
      <c r="N9" s="8">
        <f>M9-INDEX(Settings!$G$4:$G$9,MATCH($E9,Settings!$F$4:$F$9,0))</f>
        <v/>
      </c>
      <c r="O9" s="7">
        <f>N9*INDEX(Settings!$H$4:$H$9,MATCH($E9,Settings!$F$4:$F$9,0))</f>
        <v/>
      </c>
      <c r="P9" s="3" t="inlineStr">
        <is>
          <t>HIGH</t>
        </is>
      </c>
      <c r="Q9" s="5" t="inlineStr">
        <is>
          <t>CAUTION only 48 pct of inside-5 carries in 2025</t>
        </is>
      </c>
    </row>
    <row r="10">
      <c r="A10" s="3" t="n">
        <v>11</v>
      </c>
      <c r="B10" s="9" t="inlineStr">
        <is>
          <t>RB8</t>
        </is>
      </c>
      <c r="C10" s="5" t="inlineStr">
        <is>
          <t>Kyren Williams</t>
        </is>
      </c>
      <c r="D10" s="3" t="inlineStr">
        <is>
          <t>LAR</t>
        </is>
      </c>
      <c r="E10" s="9" t="inlineStr">
        <is>
          <t>RB</t>
        </is>
      </c>
      <c r="F10" s="6" t="n"/>
      <c r="G10" s="6" t="n">
        <v>10.1</v>
      </c>
      <c r="H10" s="6" t="n">
        <v>1.8</v>
      </c>
      <c r="I10" s="6" t="n"/>
      <c r="J10" s="6" t="n"/>
      <c r="K10" s="6" t="n"/>
      <c r="L10" s="6" t="n"/>
      <c r="M10" s="7">
        <f>F10*Settings!$B$4+G10*Settings!$B$5+H10*Settings!$B$6+I10*Settings!$B$7+J10*Settings!$B$8+K10*Settings!$B$9+L10*Settings!$B$10</f>
        <v/>
      </c>
      <c r="N10" s="8">
        <f>M10-INDEX(Settings!$G$4:$G$9,MATCH($E10,Settings!$F$4:$F$9,0))</f>
        <v/>
      </c>
      <c r="O10" s="7">
        <f>N10*INDEX(Settings!$H$4:$H$9,MATCH($E10,Settings!$F$4:$F$9,0))</f>
        <v/>
      </c>
      <c r="P10" s="3" t="inlineStr">
        <is>
          <t>HIGH</t>
        </is>
      </c>
      <c r="Q10" s="5" t="inlineStr">
        <is>
          <t>Alternates drives with Corum</t>
        </is>
      </c>
    </row>
    <row r="11">
      <c r="A11" s="3" t="n">
        <v>12</v>
      </c>
      <c r="B11" s="9" t="inlineStr">
        <is>
          <t>RB9</t>
        </is>
      </c>
      <c r="C11" s="5" t="inlineStr">
        <is>
          <t>Javonte Williams</t>
        </is>
      </c>
      <c r="D11" s="3" t="inlineStr">
        <is>
          <t>DAL</t>
        </is>
      </c>
      <c r="E11" s="9" t="inlineStr">
        <is>
          <t>RB</t>
        </is>
      </c>
      <c r="F11" s="6" t="n"/>
      <c r="G11" s="6" t="n">
        <v>10.6</v>
      </c>
      <c r="H11" s="6" t="n">
        <v>1.2</v>
      </c>
      <c r="I11" s="6" t="n"/>
      <c r="J11" s="6" t="n"/>
      <c r="K11" s="6" t="n"/>
      <c r="L11" s="6" t="n"/>
      <c r="M11" s="7">
        <f>F11*Settings!$B$4+G11*Settings!$B$5+H11*Settings!$B$6+I11*Settings!$B$7+J11*Settings!$B$8+K11*Settings!$B$9+L11*Settings!$B$10</f>
        <v/>
      </c>
      <c r="N11" s="8">
        <f>M11-INDEX(Settings!$G$4:$G$9,MATCH($E11,Settings!$F$4:$F$9,0))</f>
        <v/>
      </c>
      <c r="O11" s="7">
        <f>N11*INDEX(Settings!$H$4:$H$9,MATCH($E11,Settings!$F$4:$F$9,0))</f>
        <v/>
      </c>
      <c r="P11" s="3" t="inlineStr">
        <is>
          <t>HIGH</t>
        </is>
      </c>
      <c r="Q11" s="5" t="inlineStr">
        <is>
          <t>Goal-line yes</t>
        </is>
      </c>
    </row>
    <row r="12">
      <c r="A12" s="3" t="n">
        <v>16</v>
      </c>
      <c r="B12" s="9" t="inlineStr">
        <is>
          <t>RB10</t>
        </is>
      </c>
      <c r="C12" s="5" t="inlineStr">
        <is>
          <t>Omarion Hampton</t>
        </is>
      </c>
      <c r="D12" s="3" t="inlineStr">
        <is>
          <t>LAC</t>
        </is>
      </c>
      <c r="E12" s="9" t="inlineStr">
        <is>
          <t>RB</t>
        </is>
      </c>
      <c r="F12" s="6" t="n"/>
      <c r="G12" s="6" t="n">
        <v>9.199999999999999</v>
      </c>
      <c r="H12" s="6" t="n">
        <v>1.9</v>
      </c>
      <c r="I12" s="6" t="n"/>
      <c r="J12" s="6" t="n"/>
      <c r="K12" s="6" t="n"/>
      <c r="L12" s="6" t="n"/>
      <c r="M12" s="7">
        <f>F12*Settings!$B$4+G12*Settings!$B$5+H12*Settings!$B$6+I12*Settings!$B$7+J12*Settings!$B$8+K12*Settings!$B$9+L12*Settings!$B$10</f>
        <v/>
      </c>
      <c r="N12" s="8">
        <f>M12-INDEX(Settings!$G$4:$G$9,MATCH($E12,Settings!$F$4:$F$9,0))</f>
        <v/>
      </c>
      <c r="O12" s="7">
        <f>N12*INDEX(Settings!$H$4:$H$9,MATCH($E12,Settings!$F$4:$F$9,0))</f>
        <v/>
      </c>
      <c r="P12" s="3" t="inlineStr">
        <is>
          <t>HIGH</t>
        </is>
      </c>
      <c r="Q12" s="5" t="inlineStr">
        <is>
          <t>Goal-line yes</t>
        </is>
      </c>
    </row>
    <row r="13">
      <c r="A13" s="3" t="n">
        <v>18</v>
      </c>
      <c r="B13" s="9" t="inlineStr">
        <is>
          <t>RB11</t>
        </is>
      </c>
      <c r="C13" s="5" t="inlineStr">
        <is>
          <t>Chase Brown</t>
        </is>
      </c>
      <c r="D13" s="3" t="inlineStr">
        <is>
          <t>CIN</t>
        </is>
      </c>
      <c r="E13" s="9" t="inlineStr">
        <is>
          <t>RB</t>
        </is>
      </c>
      <c r="F13" s="6" t="n"/>
      <c r="G13" s="6" t="n">
        <v>7.4</v>
      </c>
      <c r="H13" s="6" t="n">
        <v>3.6</v>
      </c>
      <c r="I13" s="6" t="n"/>
      <c r="J13" s="6" t="n"/>
      <c r="K13" s="6" t="n"/>
      <c r="L13" s="6" t="n"/>
      <c r="M13" s="7">
        <f>F13*Settings!$B$4+G13*Settings!$B$5+H13*Settings!$B$6+I13*Settings!$B$7+J13*Settings!$B$8+K13*Settings!$B$9+L13*Settings!$B$10</f>
        <v/>
      </c>
      <c r="N13" s="8">
        <f>M13-INDEX(Settings!$G$4:$G$9,MATCH($E13,Settings!$F$4:$F$9,0))</f>
        <v/>
      </c>
      <c r="O13" s="7">
        <f>N13*INDEX(Settings!$H$4:$H$9,MATCH($E13,Settings!$F$4:$F$9,0))</f>
        <v/>
      </c>
      <c r="P13" s="3" t="inlineStr">
        <is>
          <t>HIGH</t>
        </is>
      </c>
      <c r="Q13" s="5" t="inlineStr">
        <is>
          <t>Vegas LOWER than consensus</t>
        </is>
      </c>
    </row>
    <row r="14">
      <c r="A14" s="3" t="n">
        <v>19</v>
      </c>
      <c r="B14" s="9" t="inlineStr">
        <is>
          <t>RB12</t>
        </is>
      </c>
      <c r="C14" s="5" t="inlineStr">
        <is>
          <t>Saquon Barkley</t>
        </is>
      </c>
      <c r="D14" s="3" t="inlineStr">
        <is>
          <t>PHI</t>
        </is>
      </c>
      <c r="E14" s="9" t="inlineStr">
        <is>
          <t>RB</t>
        </is>
      </c>
      <c r="F14" s="6" t="n"/>
      <c r="G14" s="6" t="n">
        <v>8.6</v>
      </c>
      <c r="H14" s="6" t="n">
        <v>2.1</v>
      </c>
      <c r="I14" s="6" t="n"/>
      <c r="J14" s="6" t="n"/>
      <c r="K14" s="6" t="n"/>
      <c r="L14" s="6" t="n"/>
      <c r="M14" s="7">
        <f>F14*Settings!$B$4+G14*Settings!$B$5+H14*Settings!$B$6+I14*Settings!$B$7+J14*Settings!$B$8+K14*Settings!$B$9+L14*Settings!$B$10</f>
        <v/>
      </c>
      <c r="N14" s="8">
        <f>M14-INDEX(Settings!$G$4:$G$9,MATCH($E14,Settings!$F$4:$F$9,0))</f>
        <v/>
      </c>
      <c r="O14" s="7">
        <f>N14*INDEX(Settings!$H$4:$H$9,MATCH($E14,Settings!$F$4:$F$9,0))</f>
        <v/>
      </c>
      <c r="P14" s="3" t="inlineStr">
        <is>
          <t>HIGH</t>
        </is>
      </c>
      <c r="Q14" s="5" t="inlineStr">
        <is>
          <t>TRAP: Hurts vultures 8.5 rush TDs; not priced in</t>
        </is>
      </c>
    </row>
    <row r="15">
      <c r="A15" s="3" t="n">
        <v>20</v>
      </c>
      <c r="B15" s="9" t="inlineStr">
        <is>
          <t>RB13</t>
        </is>
      </c>
      <c r="C15" s="5" t="inlineStr">
        <is>
          <t>Kenneth Walker III</t>
        </is>
      </c>
      <c r="D15" s="3" t="inlineStr">
        <is>
          <t>KC</t>
        </is>
      </c>
      <c r="E15" s="9" t="inlineStr">
        <is>
          <t>RB</t>
        </is>
      </c>
      <c r="F15" s="6" t="n"/>
      <c r="G15" s="6" t="n">
        <v>8.9</v>
      </c>
      <c r="H15" s="6" t="n">
        <v>1.6</v>
      </c>
      <c r="I15" s="6" t="n"/>
      <c r="J15" s="6" t="n"/>
      <c r="K15" s="6" t="n"/>
      <c r="L15" s="6" t="n"/>
      <c r="M15" s="7">
        <f>F15*Settings!$B$4+G15*Settings!$B$5+H15*Settings!$B$6+I15*Settings!$B$7+J15*Settings!$B$8+K15*Settings!$B$9+L15*Settings!$B$10</f>
        <v/>
      </c>
      <c r="N15" s="8">
        <f>M15-INDEX(Settings!$G$4:$G$9,MATCH($E15,Settings!$F$4:$F$9,0))</f>
        <v/>
      </c>
      <c r="O15" s="7">
        <f>N15*INDEX(Settings!$H$4:$H$9,MATCH($E15,Settings!$F$4:$F$9,0))</f>
        <v/>
      </c>
      <c r="P15" s="3" t="inlineStr">
        <is>
          <t>HIGH</t>
        </is>
      </c>
      <c r="Q15" s="5" t="inlineStr">
        <is>
          <t>New to KC; no established GL hierarchy</t>
        </is>
      </c>
    </row>
    <row r="16">
      <c r="A16" s="3" t="n">
        <v>40</v>
      </c>
      <c r="B16" s="9" t="inlineStr">
        <is>
          <t>RB14</t>
        </is>
      </c>
      <c r="C16" s="5" t="inlineStr">
        <is>
          <t>Ashton Jeanty</t>
        </is>
      </c>
      <c r="D16" s="3" t="inlineStr">
        <is>
          <t>LV</t>
        </is>
      </c>
      <c r="E16" s="9" t="inlineStr">
        <is>
          <t>RB</t>
        </is>
      </c>
      <c r="F16" s="6" t="n"/>
      <c r="G16" s="6" t="n">
        <v>7</v>
      </c>
      <c r="H16" s="6" t="n">
        <v>2</v>
      </c>
      <c r="I16" s="6" t="n"/>
      <c r="J16" s="6" t="n"/>
      <c r="K16" s="6" t="n"/>
      <c r="L16" s="6" t="n"/>
      <c r="M16" s="7">
        <f>F16*Settings!$B$4+G16*Settings!$B$5+H16*Settings!$B$6+I16*Settings!$B$7+J16*Settings!$B$8+K16*Settings!$B$9+L16*Settings!$B$10</f>
        <v/>
      </c>
      <c r="N16" s="8">
        <f>M16-INDEX(Settings!$G$4:$G$9,MATCH($E16,Settings!$F$4:$F$9,0))</f>
        <v/>
      </c>
      <c r="O16" s="7">
        <f>N16*INDEX(Settings!$H$4:$H$9,MATCH($E16,Settings!$F$4:$F$9,0))</f>
        <v/>
      </c>
      <c r="P16" s="3" t="inlineStr">
        <is>
          <t>HIGH</t>
        </is>
      </c>
      <c r="Q16" s="5" t="inlineStr">
        <is>
          <t>Goal-line yes</t>
        </is>
      </c>
    </row>
    <row r="17">
      <c r="A17" s="3" t="n">
        <v>41</v>
      </c>
      <c r="B17" s="9" t="inlineStr">
        <is>
          <t>RB15</t>
        </is>
      </c>
      <c r="C17" s="5" t="inlineStr">
        <is>
          <t>De'Von Achane</t>
        </is>
      </c>
      <c r="D17" s="3" t="inlineStr">
        <is>
          <t>MIA</t>
        </is>
      </c>
      <c r="E17" s="9" t="inlineStr">
        <is>
          <t>RB</t>
        </is>
      </c>
      <c r="F17" s="6" t="n"/>
      <c r="G17" s="6" t="n">
        <v>5.7</v>
      </c>
      <c r="H17" s="6" t="n">
        <v>3.3</v>
      </c>
      <c r="I17" s="6" t="n"/>
      <c r="J17" s="6" t="n"/>
      <c r="K17" s="6" t="n"/>
      <c r="L17" s="6" t="n"/>
      <c r="M17" s="7">
        <f>F17*Settings!$B$4+G17*Settings!$B$5+H17*Settings!$B$6+I17*Settings!$B$7+J17*Settings!$B$8+K17*Settings!$B$9+L17*Settings!$B$10</f>
        <v/>
      </c>
      <c r="N17" s="8">
        <f>M17-INDEX(Settings!$G$4:$G$9,MATCH($E17,Settings!$F$4:$F$9,0))</f>
        <v/>
      </c>
      <c r="O17" s="7">
        <f>N17*INDEX(Settings!$H$4:$H$9,MATCH($E17,Settings!$F$4:$F$9,0))</f>
        <v/>
      </c>
      <c r="P17" s="3" t="inlineStr">
        <is>
          <t>HIGH</t>
        </is>
      </c>
      <c r="Q17" s="5" t="inlineStr">
        <is>
          <t>Not the goal-line back</t>
        </is>
      </c>
    </row>
    <row r="18">
      <c r="A18" s="3" t="n">
        <v>43</v>
      </c>
      <c r="B18" s="9" t="inlineStr">
        <is>
          <t>RB16</t>
        </is>
      </c>
      <c r="C18" s="5" t="inlineStr">
        <is>
          <t>Jeremiyah Love</t>
        </is>
      </c>
      <c r="D18" s="3" t="inlineStr">
        <is>
          <t>ARI</t>
        </is>
      </c>
      <c r="E18" s="9" t="inlineStr">
        <is>
          <t>RB</t>
        </is>
      </c>
      <c r="F18" s="6" t="n"/>
      <c r="G18" s="6" t="n">
        <v>6.8</v>
      </c>
      <c r="H18" s="6" t="n">
        <v>2.1</v>
      </c>
      <c r="I18" s="6" t="n"/>
      <c r="J18" s="6" t="n"/>
      <c r="K18" s="6" t="n"/>
      <c r="L18" s="6" t="n"/>
      <c r="M18" s="7">
        <f>F18*Settings!$B$4+G18*Settings!$B$5+H18*Settings!$B$6+I18*Settings!$B$7+J18*Settings!$B$8+K18*Settings!$B$9+L18*Settings!$B$10</f>
        <v/>
      </c>
      <c r="N18" s="8">
        <f>M18-INDEX(Settings!$G$4:$G$9,MATCH($E18,Settings!$F$4:$F$9,0))</f>
        <v/>
      </c>
      <c r="O18" s="7">
        <f>N18*INDEX(Settings!$H$4:$H$9,MATCH($E18,Settings!$F$4:$F$9,0))</f>
        <v/>
      </c>
      <c r="P18" s="3" t="inlineStr">
        <is>
          <t>HIGH</t>
        </is>
      </c>
      <c r="Q18" s="5" t="inlineStr">
        <is>
          <t>Rookie; opened camp as RB2 behind Allgeier</t>
        </is>
      </c>
    </row>
    <row r="19">
      <c r="A19" s="3" t="n">
        <v>54</v>
      </c>
      <c r="B19" s="9" t="inlineStr">
        <is>
          <t>RB17</t>
        </is>
      </c>
      <c r="C19" s="5" t="inlineStr">
        <is>
          <t>Breece Hall</t>
        </is>
      </c>
      <c r="D19" s="3" t="inlineStr">
        <is>
          <t>NYJ</t>
        </is>
      </c>
      <c r="E19" s="9" t="inlineStr">
        <is>
          <t>RB</t>
        </is>
      </c>
      <c r="F19" s="6" t="n"/>
      <c r="G19" s="6" t="n">
        <v>6.3</v>
      </c>
      <c r="H19" s="6" t="n">
        <v>2.4</v>
      </c>
      <c r="I19" s="6" t="n"/>
      <c r="J19" s="6" t="n"/>
      <c r="K19" s="6" t="n"/>
      <c r="L19" s="6" t="n"/>
      <c r="M19" s="7">
        <f>F19*Settings!$B$4+G19*Settings!$B$5+H19*Settings!$B$6+I19*Settings!$B$7+J19*Settings!$B$8+K19*Settings!$B$9+L19*Settings!$B$10</f>
        <v/>
      </c>
      <c r="N19" s="8">
        <f>M19-INDEX(Settings!$G$4:$G$9,MATCH($E19,Settings!$F$4:$F$9,0))</f>
        <v/>
      </c>
      <c r="O19" s="7">
        <f>N19*INDEX(Settings!$H$4:$H$9,MATCH($E19,Settings!$F$4:$F$9,0))</f>
        <v/>
      </c>
      <c r="P19" s="3" t="inlineStr">
        <is>
          <t>MEDIUM</t>
        </is>
      </c>
      <c r="Q19" s="5" t="inlineStr">
        <is>
          <t>Groin strain Aug 17; expected Week 1</t>
        </is>
      </c>
    </row>
    <row r="20">
      <c r="A20" s="3" t="n">
        <v>59</v>
      </c>
      <c r="B20" s="9" t="inlineStr">
        <is>
          <t>RB18</t>
        </is>
      </c>
      <c r="C20" s="5" t="inlineStr">
        <is>
          <t>Jadarian Price</t>
        </is>
      </c>
      <c r="D20" s="3" t="inlineStr">
        <is>
          <t>SEA</t>
        </is>
      </c>
      <c r="E20" s="9" t="inlineStr">
        <is>
          <t>RB</t>
        </is>
      </c>
      <c r="F20" s="6" t="n"/>
      <c r="G20" s="6" t="n">
        <v>7.5</v>
      </c>
      <c r="H20" s="6" t="n">
        <v>1.1</v>
      </c>
      <c r="I20" s="6" t="n"/>
      <c r="J20" s="6" t="n"/>
      <c r="K20" s="6" t="n"/>
      <c r="L20" s="6" t="n"/>
      <c r="M20" s="7">
        <f>F20*Settings!$B$4+G20*Settings!$B$5+H20*Settings!$B$6+I20*Settings!$B$7+J20*Settings!$B$8+K20*Settings!$B$9+L20*Settings!$B$10</f>
        <v/>
      </c>
      <c r="N20" s="8">
        <f>M20-INDEX(Settings!$G$4:$G$9,MATCH($E20,Settings!$F$4:$F$9,0))</f>
        <v/>
      </c>
      <c r="O20" s="7">
        <f>N20*INDEX(Settings!$H$4:$H$9,MATCH($E20,Settings!$F$4:$F$9,0))</f>
        <v/>
      </c>
      <c r="P20" s="3" t="inlineStr">
        <is>
          <t>HIGH</t>
        </is>
      </c>
      <c r="Q20" s="5" t="inlineStr">
        <is>
          <t>Rookie; leads while Charbonnet rehabs</t>
        </is>
      </c>
    </row>
    <row r="21">
      <c r="A21" s="3" t="n">
        <v>60</v>
      </c>
      <c r="B21" s="9" t="inlineStr">
        <is>
          <t>RB19</t>
        </is>
      </c>
      <c r="C21" s="5" t="inlineStr">
        <is>
          <t>Cam Skattebo</t>
        </is>
      </c>
      <c r="D21" s="3" t="inlineStr">
        <is>
          <t>NYG</t>
        </is>
      </c>
      <c r="E21" s="9" t="inlineStr">
        <is>
          <t>RB</t>
        </is>
      </c>
      <c r="F21" s="6" t="n"/>
      <c r="G21" s="6" t="n">
        <v>7.4</v>
      </c>
      <c r="H21" s="6" t="n">
        <v>1.2</v>
      </c>
      <c r="I21" s="6" t="n"/>
      <c r="J21" s="6" t="n"/>
      <c r="K21" s="6" t="n"/>
      <c r="L21" s="6" t="n"/>
      <c r="M21" s="7">
        <f>F21*Settings!$B$4+G21*Settings!$B$5+H21*Settings!$B$6+I21*Settings!$B$7+J21*Settings!$B$8+K21*Settings!$B$9+L21*Settings!$B$10</f>
        <v/>
      </c>
      <c r="N21" s="8">
        <f>M21-INDEX(Settings!$G$4:$G$9,MATCH($E21,Settings!$F$4:$F$9,0))</f>
        <v/>
      </c>
      <c r="O21" s="7">
        <f>N21*INDEX(Settings!$H$4:$H$9,MATCH($E21,Settings!$F$4:$F$9,0))</f>
        <v/>
      </c>
      <c r="P21" s="3" t="inlineStr">
        <is>
          <t>HIGH</t>
        </is>
      </c>
      <c r="Q21" s="5" t="inlineStr">
        <is>
          <t>Goal-line yes</t>
        </is>
      </c>
    </row>
    <row r="22">
      <c r="A22" s="3" t="n">
        <v>61</v>
      </c>
      <c r="B22" s="9" t="inlineStr">
        <is>
          <t>RB20</t>
        </is>
      </c>
      <c r="C22" s="5" t="inlineStr">
        <is>
          <t>D'Andre Swift</t>
        </is>
      </c>
      <c r="D22" s="3" t="inlineStr">
        <is>
          <t>CHI</t>
        </is>
      </c>
      <c r="E22" s="9" t="inlineStr">
        <is>
          <t>RB</t>
        </is>
      </c>
      <c r="F22" s="6" t="n"/>
      <c r="G22" s="6" t="n">
        <v>7.5</v>
      </c>
      <c r="H22" s="6" t="n">
        <v>1.1</v>
      </c>
      <c r="I22" s="6" t="n"/>
      <c r="J22" s="6" t="n"/>
      <c r="K22" s="6" t="n"/>
      <c r="L22" s="6" t="n"/>
      <c r="M22" s="7">
        <f>F22*Settings!$B$4+G22*Settings!$B$5+H22*Settings!$B$6+I22*Settings!$B$7+J22*Settings!$B$8+K22*Settings!$B$9+L22*Settings!$B$10</f>
        <v/>
      </c>
      <c r="N22" s="8">
        <f>M22-INDEX(Settings!$G$4:$G$9,MATCH($E22,Settings!$F$4:$F$9,0))</f>
        <v/>
      </c>
      <c r="O22" s="7">
        <f>N22*INDEX(Settings!$H$4:$H$9,MATCH($E22,Settings!$F$4:$F$9,0))</f>
        <v/>
      </c>
      <c r="P22" s="3" t="inlineStr">
        <is>
          <t>HIGH</t>
        </is>
      </c>
      <c r="Q22" s="5" t="inlineStr"/>
    </row>
    <row r="23">
      <c r="A23" s="3" t="n">
        <v>71</v>
      </c>
      <c r="B23" s="9" t="inlineStr">
        <is>
          <t>RB21</t>
        </is>
      </c>
      <c r="C23" s="5" t="inlineStr">
        <is>
          <t>Rhamondre Stevenson</t>
        </is>
      </c>
      <c r="D23" s="3" t="inlineStr">
        <is>
          <t>NE</t>
        </is>
      </c>
      <c r="E23" s="9" t="inlineStr">
        <is>
          <t>RB</t>
        </is>
      </c>
      <c r="F23" s="6" t="n"/>
      <c r="G23" s="6" t="n">
        <v>6.9</v>
      </c>
      <c r="H23" s="6" t="n">
        <v>1.6</v>
      </c>
      <c r="I23" s="6" t="n"/>
      <c r="J23" s="6" t="n"/>
      <c r="K23" s="6" t="n"/>
      <c r="L23" s="6" t="n"/>
      <c r="M23" s="7">
        <f>F23*Settings!$B$4+G23*Settings!$B$5+H23*Settings!$B$6+I23*Settings!$B$7+J23*Settings!$B$8+K23*Settings!$B$9+L23*Settings!$B$10</f>
        <v/>
      </c>
      <c r="N23" s="8">
        <f>M23-INDEX(Settings!$G$4:$G$9,MATCH($E23,Settings!$F$4:$F$9,0))</f>
        <v/>
      </c>
      <c r="O23" s="7">
        <f>N23*INDEX(Settings!$H$4:$H$9,MATCH($E23,Settings!$F$4:$F$9,0))</f>
        <v/>
      </c>
      <c r="P23" s="3" t="inlineStr">
        <is>
          <t>HIGH</t>
        </is>
      </c>
      <c r="Q23" s="5" t="inlineStr">
        <is>
          <t>Goal-line yes</t>
        </is>
      </c>
    </row>
    <row r="24">
      <c r="A24" s="3" t="n">
        <v>72</v>
      </c>
      <c r="B24" s="9" t="inlineStr">
        <is>
          <t>RB22</t>
        </is>
      </c>
      <c r="C24" s="5" t="inlineStr">
        <is>
          <t>Bhayshul Tuten</t>
        </is>
      </c>
      <c r="D24" s="3" t="inlineStr">
        <is>
          <t>JAX</t>
        </is>
      </c>
      <c r="E24" s="9" t="inlineStr">
        <is>
          <t>RB</t>
        </is>
      </c>
      <c r="F24" s="6" t="n"/>
      <c r="G24" s="6" t="n">
        <v>6.8</v>
      </c>
      <c r="H24" s="6" t="n">
        <v>1.7</v>
      </c>
      <c r="I24" s="6" t="n"/>
      <c r="J24" s="6" t="n"/>
      <c r="K24" s="6" t="n"/>
      <c r="L24" s="6" t="n"/>
      <c r="M24" s="7">
        <f>F24*Settings!$B$4+G24*Settings!$B$5+H24*Settings!$B$6+I24*Settings!$B$7+J24*Settings!$B$8+K24*Settings!$B$9+L24*Settings!$B$10</f>
        <v/>
      </c>
      <c r="N24" s="8">
        <f>M24-INDEX(Settings!$G$4:$G$9,MATCH($E24,Settings!$F$4:$F$9,0))</f>
        <v/>
      </c>
      <c r="O24" s="7">
        <f>N24*INDEX(Settings!$H$4:$H$9,MATCH($E24,Settings!$F$4:$F$9,0))</f>
        <v/>
      </c>
      <c r="P24" s="3" t="inlineStr">
        <is>
          <t>HIGH</t>
        </is>
      </c>
      <c r="Q24" s="5" t="inlineStr">
        <is>
          <t>But Rodriguez owns goal line</t>
        </is>
      </c>
    </row>
    <row r="25">
      <c r="A25" s="3" t="n">
        <v>79</v>
      </c>
      <c r="B25" s="9" t="inlineStr">
        <is>
          <t>RB23</t>
        </is>
      </c>
      <c r="C25" s="5" t="inlineStr">
        <is>
          <t>Bucky Irving</t>
        </is>
      </c>
      <c r="D25" s="3" t="inlineStr">
        <is>
          <t>TB</t>
        </is>
      </c>
      <c r="E25" s="9" t="inlineStr">
        <is>
          <t>RB</t>
        </is>
      </c>
      <c r="F25" s="6" t="n"/>
      <c r="G25" s="6" t="n">
        <v>6.2</v>
      </c>
      <c r="H25" s="6" t="n">
        <v>1.9</v>
      </c>
      <c r="I25" s="6" t="n"/>
      <c r="J25" s="6" t="n"/>
      <c r="K25" s="6" t="n"/>
      <c r="L25" s="6" t="n"/>
      <c r="M25" s="7">
        <f>F25*Settings!$B$4+G25*Settings!$B$5+H25*Settings!$B$6+I25*Settings!$B$7+J25*Settings!$B$8+K25*Settings!$B$9+L25*Settings!$B$10</f>
        <v/>
      </c>
      <c r="N25" s="8">
        <f>M25-INDEX(Settings!$G$4:$G$9,MATCH($E25,Settings!$F$4:$F$9,0))</f>
        <v/>
      </c>
      <c r="O25" s="7">
        <f>N25*INDEX(Settings!$H$4:$H$9,MATCH($E25,Settings!$F$4:$F$9,0))</f>
        <v/>
      </c>
      <c r="P25" s="3" t="inlineStr">
        <is>
          <t>HIGH</t>
        </is>
      </c>
      <c r="Q25" s="5" t="inlineStr">
        <is>
          <t>TRAP: ZERO carries inside the 5 in 2025</t>
        </is>
      </c>
    </row>
    <row r="26">
      <c r="A26" s="3" t="n">
        <v>83</v>
      </c>
      <c r="B26" s="9" t="inlineStr">
        <is>
          <t>RB24</t>
        </is>
      </c>
      <c r="C26" s="5" t="inlineStr">
        <is>
          <t>Quinshon Judkins</t>
        </is>
      </c>
      <c r="D26" s="3" t="inlineStr">
        <is>
          <t>CLE</t>
        </is>
      </c>
      <c r="E26" s="9" t="inlineStr">
        <is>
          <t>RB</t>
        </is>
      </c>
      <c r="F26" s="6" t="n"/>
      <c r="G26" s="6" t="n">
        <v>7.2</v>
      </c>
      <c r="H26" s="6" t="n">
        <v>0.8</v>
      </c>
      <c r="I26" s="6" t="n"/>
      <c r="J26" s="6" t="n"/>
      <c r="K26" s="6" t="n"/>
      <c r="L26" s="6" t="n"/>
      <c r="M26" s="7">
        <f>F26*Settings!$B$4+G26*Settings!$B$5+H26*Settings!$B$6+I26*Settings!$B$7+J26*Settings!$B$8+K26*Settings!$B$9+L26*Settings!$B$10</f>
        <v/>
      </c>
      <c r="N26" s="8">
        <f>M26-INDEX(Settings!$G$4:$G$9,MATCH($E26,Settings!$F$4:$F$9,0))</f>
        <v/>
      </c>
      <c r="O26" s="7">
        <f>N26*INDEX(Settings!$H$4:$H$9,MATCH($E26,Settings!$F$4:$F$9,0))</f>
        <v/>
      </c>
      <c r="P26" s="3" t="inlineStr">
        <is>
          <t>HIGH</t>
        </is>
      </c>
      <c r="Q26" s="5" t="inlineStr">
        <is>
          <t>Goal-line yes</t>
        </is>
      </c>
    </row>
    <row r="27">
      <c r="A27" s="3" t="n">
        <v>84</v>
      </c>
      <c r="B27" s="9" t="inlineStr">
        <is>
          <t>RB25</t>
        </is>
      </c>
      <c r="C27" s="5" t="inlineStr">
        <is>
          <t>TreVeyon Henderson</t>
        </is>
      </c>
      <c r="D27" s="3" t="inlineStr">
        <is>
          <t>NE</t>
        </is>
      </c>
      <c r="E27" s="9" t="inlineStr">
        <is>
          <t>RB</t>
        </is>
      </c>
      <c r="F27" s="6" t="n"/>
      <c r="G27" s="6" t="n">
        <v>6.8</v>
      </c>
      <c r="H27" s="6" t="n">
        <v>1.2</v>
      </c>
      <c r="I27" s="6" t="n"/>
      <c r="J27" s="6" t="n"/>
      <c r="K27" s="6" t="n"/>
      <c r="L27" s="6" t="n"/>
      <c r="M27" s="7">
        <f>F27*Settings!$B$4+G27*Settings!$B$5+H27*Settings!$B$6+I27*Settings!$B$7+J27*Settings!$B$8+K27*Settings!$B$9+L27*Settings!$B$10</f>
        <v/>
      </c>
      <c r="N27" s="8">
        <f>M27-INDEX(Settings!$G$4:$G$9,MATCH($E27,Settings!$F$4:$F$9,0))</f>
        <v/>
      </c>
      <c r="O27" s="7">
        <f>N27*INDEX(Settings!$H$4:$H$9,MATCH($E27,Settings!$F$4:$F$9,0))</f>
        <v/>
      </c>
      <c r="P27" s="3" t="inlineStr">
        <is>
          <t>HIGH</t>
        </is>
      </c>
      <c r="Q27" s="5" t="inlineStr">
        <is>
          <t>Not the goal-line back</t>
        </is>
      </c>
    </row>
    <row r="28">
      <c r="A28" s="3" t="n">
        <v>92</v>
      </c>
      <c r="B28" s="9" t="inlineStr">
        <is>
          <t>RB26</t>
        </is>
      </c>
      <c r="C28" s="5" t="inlineStr">
        <is>
          <t>David Montgomery</t>
        </is>
      </c>
      <c r="D28" s="3" t="inlineStr">
        <is>
          <t>HOU</t>
        </is>
      </c>
      <c r="E28" s="9" t="inlineStr">
        <is>
          <t>RB</t>
        </is>
      </c>
      <c r="F28" s="6" t="n"/>
      <c r="G28" s="6" t="n">
        <v>7</v>
      </c>
      <c r="H28" s="6" t="n">
        <v>0.8</v>
      </c>
      <c r="I28" s="6" t="n"/>
      <c r="J28" s="6" t="n"/>
      <c r="K28" s="6" t="n"/>
      <c r="L28" s="6" t="n"/>
      <c r="M28" s="7">
        <f>F28*Settings!$B$4+G28*Settings!$B$5+H28*Settings!$B$6+I28*Settings!$B$7+J28*Settings!$B$8+K28*Settings!$B$9+L28*Settings!$B$10</f>
        <v/>
      </c>
      <c r="N28" s="8">
        <f>M28-INDEX(Settings!$G$4:$G$9,MATCH($E28,Settings!$F$4:$F$9,0))</f>
        <v/>
      </c>
      <c r="O28" s="7">
        <f>N28*INDEX(Settings!$H$4:$H$9,MATCH($E28,Settings!$F$4:$F$9,0))</f>
        <v/>
      </c>
      <c r="P28" s="3" t="inlineStr">
        <is>
          <t>HIGH</t>
        </is>
      </c>
      <c r="Q28" s="5" t="inlineStr">
        <is>
          <t>Traded DET to HOU</t>
        </is>
      </c>
    </row>
    <row r="29">
      <c r="A29" s="3" t="n">
        <v>100</v>
      </c>
      <c r="B29" s="9" t="inlineStr">
        <is>
          <t>RB27</t>
        </is>
      </c>
      <c r="C29" s="5" t="inlineStr">
        <is>
          <t>J.K. Dobbins</t>
        </is>
      </c>
      <c r="D29" s="3" t="inlineStr">
        <is>
          <t>DEN</t>
        </is>
      </c>
      <c r="E29" s="9" t="inlineStr">
        <is>
          <t>RB</t>
        </is>
      </c>
      <c r="F29" s="6" t="n"/>
      <c r="G29" s="6" t="n">
        <v>6.8</v>
      </c>
      <c r="H29" s="6" t="n">
        <v>0.9</v>
      </c>
      <c r="I29" s="6" t="n"/>
      <c r="J29" s="6" t="n"/>
      <c r="K29" s="6" t="n"/>
      <c r="L29" s="6" t="n"/>
      <c r="M29" s="7">
        <f>F29*Settings!$B$4+G29*Settings!$B$5+H29*Settings!$B$6+I29*Settings!$B$7+J29*Settings!$B$8+K29*Settings!$B$9+L29*Settings!$B$10</f>
        <v/>
      </c>
      <c r="N29" s="8">
        <f>M29-INDEX(Settings!$G$4:$G$9,MATCH($E29,Settings!$F$4:$F$9,0))</f>
        <v/>
      </c>
      <c r="O29" s="7">
        <f>N29*INDEX(Settings!$H$4:$H$9,MATCH($E29,Settings!$F$4:$F$9,0))</f>
        <v/>
      </c>
      <c r="P29" s="3" t="inlineStr">
        <is>
          <t>HIGH</t>
        </is>
      </c>
      <c r="Q29" s="5" t="inlineStr">
        <is>
          <t>Goal-line yes</t>
        </is>
      </c>
    </row>
    <row r="30">
      <c r="A30" s="3" t="n">
        <v>113</v>
      </c>
      <c r="B30" s="9" t="inlineStr">
        <is>
          <t>RB28</t>
        </is>
      </c>
      <c r="C30" s="5" t="inlineStr">
        <is>
          <t>Travis Etienne Jr.</t>
        </is>
      </c>
      <c r="D30" s="3" t="inlineStr">
        <is>
          <t>NO</t>
        </is>
      </c>
      <c r="E30" s="9" t="inlineStr">
        <is>
          <t>RB</t>
        </is>
      </c>
      <c r="F30" s="6" t="n"/>
      <c r="G30" s="6" t="n">
        <v>5.6</v>
      </c>
      <c r="H30" s="6" t="n">
        <v>2</v>
      </c>
      <c r="I30" s="6" t="n"/>
      <c r="J30" s="6" t="n"/>
      <c r="K30" s="6" t="n"/>
      <c r="L30" s="6" t="n"/>
      <c r="M30" s="7">
        <f>F30*Settings!$B$4+G30*Settings!$B$5+H30*Settings!$B$6+I30*Settings!$B$7+J30*Settings!$B$8+K30*Settings!$B$9+L30*Settings!$B$10</f>
        <v/>
      </c>
      <c r="N30" s="8">
        <f>M30-INDEX(Settings!$G$4:$G$9,MATCH($E30,Settings!$F$4:$F$9,0))</f>
        <v/>
      </c>
      <c r="O30" s="7">
        <f>N30*INDEX(Settings!$H$4:$H$9,MATCH($E30,Settings!$F$4:$F$9,0))</f>
        <v/>
      </c>
      <c r="P30" s="3" t="inlineStr">
        <is>
          <t>HIGH</t>
        </is>
      </c>
      <c r="Q30" s="5" t="inlineStr">
        <is>
          <t>Traded JAX to NO</t>
        </is>
      </c>
    </row>
    <row r="31">
      <c r="A31" s="3" t="n">
        <v>129</v>
      </c>
      <c r="B31" s="9" t="inlineStr">
        <is>
          <t>RB29</t>
        </is>
      </c>
      <c r="C31" s="5" t="inlineStr">
        <is>
          <t>Jacory Croskey-Merritt</t>
        </is>
      </c>
      <c r="D31" s="3" t="inlineStr">
        <is>
          <t>WAS</t>
        </is>
      </c>
      <c r="E31" s="9" t="inlineStr">
        <is>
          <t>RB</t>
        </is>
      </c>
      <c r="F31" s="6" t="n"/>
      <c r="G31" s="6" t="n">
        <v>7.2</v>
      </c>
      <c r="H31" s="6" t="n">
        <v>0.3</v>
      </c>
      <c r="I31" s="6" t="n"/>
      <c r="J31" s="6" t="n"/>
      <c r="K31" s="6" t="n"/>
      <c r="L31" s="6" t="n"/>
      <c r="M31" s="7">
        <f>F31*Settings!$B$4+G31*Settings!$B$5+H31*Settings!$B$6+I31*Settings!$B$7+J31*Settings!$B$8+K31*Settings!$B$9+L31*Settings!$B$10</f>
        <v/>
      </c>
      <c r="N31" s="8">
        <f>M31-INDEX(Settings!$G$4:$G$9,MATCH($E31,Settings!$F$4:$F$9,0))</f>
        <v/>
      </c>
      <c r="O31" s="7">
        <f>N31*INDEX(Settings!$H$4:$H$9,MATCH($E31,Settings!$F$4:$F$9,0))</f>
        <v/>
      </c>
      <c r="P31" s="3" t="inlineStr">
        <is>
          <t>HIGH</t>
        </is>
      </c>
      <c r="Q31" s="5" t="inlineStr">
        <is>
          <t>Goal-line yes but rookie Kaytron Allen vultures</t>
        </is>
      </c>
    </row>
    <row r="32">
      <c r="A32" s="3" t="n">
        <v>151</v>
      </c>
      <c r="B32" s="9" t="inlineStr">
        <is>
          <t>RB30</t>
        </is>
      </c>
      <c r="C32" s="5" t="inlineStr">
        <is>
          <t>Blake Corum</t>
        </is>
      </c>
      <c r="D32" s="3" t="inlineStr">
        <is>
          <t>LAR</t>
        </is>
      </c>
      <c r="E32" s="9" t="inlineStr">
        <is>
          <t>RB</t>
        </is>
      </c>
      <c r="F32" s="6" t="n"/>
      <c r="G32" s="6" t="n">
        <v>6.7</v>
      </c>
      <c r="H32" s="6" t="n">
        <v>0.3</v>
      </c>
      <c r="I32" s="6" t="n"/>
      <c r="J32" s="6" t="n"/>
      <c r="K32" s="6" t="n"/>
      <c r="L32" s="6" t="n"/>
      <c r="M32" s="7">
        <f>F32*Settings!$B$4+G32*Settings!$B$5+H32*Settings!$B$6+I32*Settings!$B$7+J32*Settings!$B$8+K32*Settings!$B$9+L32*Settings!$B$10</f>
        <v/>
      </c>
      <c r="N32" s="8">
        <f>M32-INDEX(Settings!$G$4:$G$9,MATCH($E32,Settings!$F$4:$F$9,0))</f>
        <v/>
      </c>
      <c r="O32" s="7">
        <f>N32*INDEX(Settings!$H$4:$H$9,MATCH($E32,Settings!$F$4:$F$9,0))</f>
        <v/>
      </c>
      <c r="P32" s="3" t="inlineStr">
        <is>
          <t>HIGH</t>
        </is>
      </c>
      <c r="Q32" s="5" t="inlineStr">
        <is>
          <t>Alternates drives with Kyren</t>
        </is>
      </c>
    </row>
    <row r="33">
      <c r="A33" s="3" t="n">
        <v>155</v>
      </c>
      <c r="B33" s="9" t="inlineStr">
        <is>
          <t>RB31</t>
        </is>
      </c>
      <c r="C33" s="5" t="inlineStr">
        <is>
          <t>Rachaad White</t>
        </is>
      </c>
      <c r="D33" s="3" t="inlineStr">
        <is>
          <t>WAS</t>
        </is>
      </c>
      <c r="E33" s="9" t="inlineStr">
        <is>
          <t>RB</t>
        </is>
      </c>
      <c r="F33" s="6" t="n"/>
      <c r="G33" s="6" t="n">
        <v>5</v>
      </c>
      <c r="H33" s="6" t="n">
        <v>1.9</v>
      </c>
      <c r="I33" s="6" t="n"/>
      <c r="J33" s="6" t="n"/>
      <c r="K33" s="6" t="n"/>
      <c r="L33" s="6" t="n"/>
      <c r="M33" s="7">
        <f>F33*Settings!$B$4+G33*Settings!$B$5+H33*Settings!$B$6+I33*Settings!$B$7+J33*Settings!$B$8+K33*Settings!$B$9+L33*Settings!$B$10</f>
        <v/>
      </c>
      <c r="N33" s="8">
        <f>M33-INDEX(Settings!$G$4:$G$9,MATCH($E33,Settings!$F$4:$F$9,0))</f>
        <v/>
      </c>
      <c r="O33" s="7">
        <f>N33*INDEX(Settings!$H$4:$H$9,MATCH($E33,Settings!$F$4:$F$9,0))</f>
        <v/>
      </c>
      <c r="P33" s="3" t="inlineStr">
        <is>
          <t>HIGH</t>
        </is>
      </c>
      <c r="Q33" s="5" t="inlineStr">
        <is>
          <t>Signed TB to WAS</t>
        </is>
      </c>
    </row>
    <row r="34">
      <c r="A34" s="3" t="n">
        <v>166</v>
      </c>
      <c r="B34" s="9" t="inlineStr">
        <is>
          <t>RB32</t>
        </is>
      </c>
      <c r="C34" s="5" t="inlineStr">
        <is>
          <t>Jaylen Warren</t>
        </is>
      </c>
      <c r="D34" s="3" t="inlineStr">
        <is>
          <t>PIT</t>
        </is>
      </c>
      <c r="E34" s="9" t="inlineStr">
        <is>
          <t>RB</t>
        </is>
      </c>
      <c r="F34" s="6" t="n"/>
      <c r="G34" s="6" t="n">
        <v>4.8</v>
      </c>
      <c r="H34" s="6" t="n">
        <v>1.8</v>
      </c>
      <c r="I34" s="6" t="n"/>
      <c r="J34" s="6" t="n"/>
      <c r="K34" s="6" t="n"/>
      <c r="L34" s="6" t="n"/>
      <c r="M34" s="7">
        <f>F34*Settings!$B$4+G34*Settings!$B$5+H34*Settings!$B$6+I34*Settings!$B$7+J34*Settings!$B$8+K34*Settings!$B$9+L34*Settings!$B$10</f>
        <v/>
      </c>
      <c r="N34" s="8">
        <f>M34-INDEX(Settings!$G$4:$G$9,MATCH($E34,Settings!$F$4:$F$9,0))</f>
        <v/>
      </c>
      <c r="O34" s="7">
        <f>N34*INDEX(Settings!$H$4:$H$9,MATCH($E34,Settings!$F$4:$F$9,0))</f>
        <v/>
      </c>
      <c r="P34" s="3" t="inlineStr">
        <is>
          <t>HIGH</t>
        </is>
      </c>
      <c r="Q34" s="5" t="inlineStr">
        <is>
          <t>True 50-50 with Dowdle</t>
        </is>
      </c>
    </row>
    <row r="35">
      <c r="A35" s="3" t="n">
        <v>188</v>
      </c>
      <c r="B35" s="9" t="inlineStr">
        <is>
          <t>RB33</t>
        </is>
      </c>
      <c r="C35" s="5" t="inlineStr">
        <is>
          <t>Rico Dowdle</t>
        </is>
      </c>
      <c r="D35" s="3" t="inlineStr">
        <is>
          <t>PIT</t>
        </is>
      </c>
      <c r="E35" s="9" t="inlineStr">
        <is>
          <t>RB</t>
        </is>
      </c>
      <c r="F35" s="6" t="n"/>
      <c r="G35" s="6" t="n">
        <v>5.2</v>
      </c>
      <c r="H35" s="6" t="n">
        <v>1.1</v>
      </c>
      <c r="I35" s="6" t="n"/>
      <c r="J35" s="6" t="n"/>
      <c r="K35" s="6" t="n"/>
      <c r="L35" s="6" t="n"/>
      <c r="M35" s="7">
        <f>F35*Settings!$B$4+G35*Settings!$B$5+H35*Settings!$B$6+I35*Settings!$B$7+J35*Settings!$B$8+K35*Settings!$B$9+L35*Settings!$B$10</f>
        <v/>
      </c>
      <c r="N35" s="8">
        <f>M35-INDEX(Settings!$G$4:$G$9,MATCH($E35,Settings!$F$4:$F$9,0))</f>
        <v/>
      </c>
      <c r="O35" s="7">
        <f>N35*INDEX(Settings!$H$4:$H$9,MATCH($E35,Settings!$F$4:$F$9,0))</f>
        <v/>
      </c>
      <c r="P35" s="3" t="inlineStr">
        <is>
          <t>HIGH</t>
        </is>
      </c>
      <c r="Q35" s="5" t="inlineStr">
        <is>
          <t>True 50-50 with Warren</t>
        </is>
      </c>
    </row>
    <row r="36">
      <c r="A36" s="3" t="n">
        <v>191</v>
      </c>
      <c r="B36" s="9" t="inlineStr">
        <is>
          <t>RB34</t>
        </is>
      </c>
      <c r="C36" s="5" t="inlineStr">
        <is>
          <t>Chuba Hubbard</t>
        </is>
      </c>
      <c r="D36" s="3" t="inlineStr">
        <is>
          <t>CAR</t>
        </is>
      </c>
      <c r="E36" s="9" t="inlineStr">
        <is>
          <t>RB</t>
        </is>
      </c>
      <c r="F36" s="6" t="n"/>
      <c r="G36" s="6" t="n">
        <v>4.9</v>
      </c>
      <c r="H36" s="6" t="n">
        <v>1.2</v>
      </c>
      <c r="I36" s="6" t="n"/>
      <c r="J36" s="6" t="n"/>
      <c r="K36" s="6" t="n"/>
      <c r="L36" s="6" t="n"/>
      <c r="M36" s="7">
        <f>F36*Settings!$B$4+G36*Settings!$B$5+H36*Settings!$B$6+I36*Settings!$B$7+J36*Settings!$B$8+K36*Settings!$B$9+L36*Settings!$B$10</f>
        <v/>
      </c>
      <c r="N36" s="8">
        <f>M36-INDEX(Settings!$G$4:$G$9,MATCH($E36,Settings!$F$4:$F$9,0))</f>
        <v/>
      </c>
      <c r="O36" s="7">
        <f>N36*INDEX(Settings!$H$4:$H$9,MATCH($E36,Settings!$F$4:$F$9,0))</f>
        <v/>
      </c>
      <c r="P36" s="3" t="inlineStr">
        <is>
          <t>MEDIUM</t>
        </is>
      </c>
      <c r="Q36" s="5" t="inlineStr"/>
    </row>
    <row r="37">
      <c r="A37" s="3" t="n">
        <v>192</v>
      </c>
      <c r="B37" s="9" t="inlineStr">
        <is>
          <t>RB35</t>
        </is>
      </c>
      <c r="C37" s="5" t="inlineStr">
        <is>
          <t>Tony Pollard</t>
        </is>
      </c>
      <c r="D37" s="3" t="inlineStr">
        <is>
          <t>TEN</t>
        </is>
      </c>
      <c r="E37" s="9" t="inlineStr">
        <is>
          <t>RB</t>
        </is>
      </c>
      <c r="F37" s="6" t="n"/>
      <c r="G37" s="6" t="n">
        <v>5.2</v>
      </c>
      <c r="H37" s="6" t="n">
        <v>0.8</v>
      </c>
      <c r="I37" s="6" t="n"/>
      <c r="J37" s="6" t="n"/>
      <c r="K37" s="6" t="n"/>
      <c r="L37" s="6" t="n"/>
      <c r="M37" s="7">
        <f>F37*Settings!$B$4+G37*Settings!$B$5+H37*Settings!$B$6+I37*Settings!$B$7+J37*Settings!$B$8+K37*Settings!$B$9+L37*Settings!$B$10</f>
        <v/>
      </c>
      <c r="N37" s="8">
        <f>M37-INDEX(Settings!$G$4:$G$9,MATCH($E37,Settings!$F$4:$F$9,0))</f>
        <v/>
      </c>
      <c r="O37" s="7">
        <f>N37*INDEX(Settings!$H$4:$H$9,MATCH($E37,Settings!$F$4:$F$9,0))</f>
        <v/>
      </c>
      <c r="P37" s="3" t="inlineStr">
        <is>
          <t>HIGH</t>
        </is>
      </c>
      <c r="Q37" s="5" t="inlineStr"/>
    </row>
    <row r="38">
      <c r="A38" s="3" t="n">
        <v>196</v>
      </c>
      <c r="B38" s="9" t="inlineStr">
        <is>
          <t>RB36</t>
        </is>
      </c>
      <c r="C38" s="5" t="inlineStr">
        <is>
          <t>Kyle Monangai</t>
        </is>
      </c>
      <c r="D38" s="3" t="inlineStr">
        <is>
          <t>CHI</t>
        </is>
      </c>
      <c r="E38" s="9" t="inlineStr">
        <is>
          <t>RB</t>
        </is>
      </c>
      <c r="F38" s="6" t="n"/>
      <c r="G38" s="6" t="n">
        <v>5.2</v>
      </c>
      <c r="H38" s="6" t="n">
        <v>0.7</v>
      </c>
      <c r="I38" s="6" t="n"/>
      <c r="J38" s="6" t="n"/>
      <c r="K38" s="6" t="n"/>
      <c r="L38" s="6" t="n"/>
      <c r="M38" s="7">
        <f>F38*Settings!$B$4+G38*Settings!$B$5+H38*Settings!$B$6+I38*Settings!$B$7+J38*Settings!$B$8+K38*Settings!$B$9+L38*Settings!$B$10</f>
        <v/>
      </c>
      <c r="N38" s="8">
        <f>M38-INDEX(Settings!$G$4:$G$9,MATCH($E38,Settings!$F$4:$F$9,0))</f>
        <v/>
      </c>
      <c r="O38" s="7">
        <f>N38*INDEX(Settings!$H$4:$H$9,MATCH($E38,Settings!$F$4:$F$9,0))</f>
        <v/>
      </c>
      <c r="P38" s="3" t="inlineStr">
        <is>
          <t>MEDIUM</t>
        </is>
      </c>
      <c r="Q38" s="5" t="inlineStr"/>
    </row>
    <row r="39">
      <c r="A39" s="3" t="n">
        <v>199</v>
      </c>
      <c r="B39" s="9" t="inlineStr">
        <is>
          <t>RB37</t>
        </is>
      </c>
      <c r="C39" s="5" t="inlineStr">
        <is>
          <t>Jordan Mason</t>
        </is>
      </c>
      <c r="D39" s="3" t="inlineStr">
        <is>
          <t>MIN</t>
        </is>
      </c>
      <c r="E39" s="9" t="inlineStr">
        <is>
          <t>RB</t>
        </is>
      </c>
      <c r="F39" s="6" t="n"/>
      <c r="G39" s="6" t="n">
        <v>5.7</v>
      </c>
      <c r="H39" s="6" t="n">
        <v>0.1</v>
      </c>
      <c r="I39" s="6" t="n"/>
      <c r="J39" s="6" t="n"/>
      <c r="K39" s="6" t="n"/>
      <c r="L39" s="6" t="n"/>
      <c r="M39" s="7">
        <f>F39*Settings!$B$4+G39*Settings!$B$5+H39*Settings!$B$6+I39*Settings!$B$7+J39*Settings!$B$8+K39*Settings!$B$9+L39*Settings!$B$10</f>
        <v/>
      </c>
      <c r="N39" s="8">
        <f>M39-INDEX(Settings!$G$4:$G$9,MATCH($E39,Settings!$F$4:$F$9,0))</f>
        <v/>
      </c>
      <c r="O39" s="7">
        <f>N39*INDEX(Settings!$H$4:$H$9,MATCH($E39,Settings!$F$4:$F$9,0))</f>
        <v/>
      </c>
      <c r="P39" s="3" t="inlineStr">
        <is>
          <t>HIGH</t>
        </is>
      </c>
      <c r="Q39" s="5" t="inlineStr">
        <is>
          <t>Goal-line yes; Vegas lower than consensus</t>
        </is>
      </c>
    </row>
    <row r="40">
      <c r="A40" s="3" t="n">
        <v>200</v>
      </c>
      <c r="B40" s="9" t="inlineStr">
        <is>
          <t>RB38</t>
        </is>
      </c>
      <c r="C40" s="5" t="inlineStr">
        <is>
          <t>RJ Harvey</t>
        </is>
      </c>
      <c r="D40" s="3" t="inlineStr">
        <is>
          <t>DEN</t>
        </is>
      </c>
      <c r="E40" s="9" t="inlineStr">
        <is>
          <t>RB</t>
        </is>
      </c>
      <c r="F40" s="6" t="n"/>
      <c r="G40" s="6" t="n">
        <v>3</v>
      </c>
      <c r="H40" s="6" t="n">
        <v>2.8</v>
      </c>
      <c r="I40" s="6" t="n"/>
      <c r="J40" s="6" t="n"/>
      <c r="K40" s="6" t="n"/>
      <c r="L40" s="6" t="n"/>
      <c r="M40" s="7">
        <f>F40*Settings!$B$4+G40*Settings!$B$5+H40*Settings!$B$6+I40*Settings!$B$7+J40*Settings!$B$8+K40*Settings!$B$9+L40*Settings!$B$10</f>
        <v/>
      </c>
      <c r="N40" s="8">
        <f>M40-INDEX(Settings!$G$4:$G$9,MATCH($E40,Settings!$F$4:$F$9,0))</f>
        <v/>
      </c>
      <c r="O40" s="7">
        <f>N40*INDEX(Settings!$H$4:$H$9,MATCH($E40,Settings!$F$4:$F$9,0))</f>
        <v/>
      </c>
      <c r="P40" s="3" t="inlineStr">
        <is>
          <t>HIGH</t>
        </is>
      </c>
      <c r="Q40" s="5" t="inlineStr"/>
    </row>
    <row r="41">
      <c r="A41" s="3" t="n">
        <v>201</v>
      </c>
      <c r="B41" s="9" t="inlineStr">
        <is>
          <t>RB39</t>
        </is>
      </c>
      <c r="C41" s="5" t="inlineStr">
        <is>
          <t>Kenny Gainwell</t>
        </is>
      </c>
      <c r="D41" s="3" t="inlineStr">
        <is>
          <t>TB</t>
        </is>
      </c>
      <c r="E41" s="9" t="inlineStr">
        <is>
          <t>RB</t>
        </is>
      </c>
      <c r="F41" s="6" t="n"/>
      <c r="G41" s="6" t="n">
        <v>3.8</v>
      </c>
      <c r="H41" s="6" t="n">
        <v>2</v>
      </c>
      <c r="I41" s="6" t="n"/>
      <c r="J41" s="6" t="n"/>
      <c r="K41" s="6" t="n"/>
      <c r="L41" s="6" t="n"/>
      <c r="M41" s="7">
        <f>F41*Settings!$B$4+G41*Settings!$B$5+H41*Settings!$B$6+I41*Settings!$B$7+J41*Settings!$B$8+K41*Settings!$B$9+L41*Settings!$B$10</f>
        <v/>
      </c>
      <c r="N41" s="8">
        <f>M41-INDEX(Settings!$G$4:$G$9,MATCH($E41,Settings!$F$4:$F$9,0))</f>
        <v/>
      </c>
      <c r="O41" s="7">
        <f>N41*INDEX(Settings!$H$4:$H$9,MATCH($E41,Settings!$F$4:$F$9,0))</f>
        <v/>
      </c>
      <c r="P41" s="3" t="inlineStr">
        <is>
          <t>HIGH</t>
        </is>
      </c>
      <c r="Q41" s="5" t="inlineStr"/>
    </row>
    <row r="42">
      <c r="A42" s="3" t="n">
        <v>205</v>
      </c>
      <c r="B42" s="9" t="inlineStr">
        <is>
          <t>RB40</t>
        </is>
      </c>
      <c r="C42" s="5" t="inlineStr">
        <is>
          <t>Zach Charbonnet</t>
        </is>
      </c>
      <c r="D42" s="3" t="inlineStr">
        <is>
          <t>SEA</t>
        </is>
      </c>
      <c r="E42" s="9" t="inlineStr">
        <is>
          <t>RB</t>
        </is>
      </c>
      <c r="F42" s="6" t="n"/>
      <c r="G42" s="6" t="n">
        <v>5</v>
      </c>
      <c r="H42" s="6" t="n">
        <v>0.7</v>
      </c>
      <c r="I42" s="6" t="n"/>
      <c r="J42" s="6" t="n"/>
      <c r="K42" s="6" t="n"/>
      <c r="L42" s="6" t="n"/>
      <c r="M42" s="7">
        <f>F42*Settings!$B$4+G42*Settings!$B$5+H42*Settings!$B$6+I42*Settings!$B$7+J42*Settings!$B$8+K42*Settings!$B$9+L42*Settings!$B$10</f>
        <v/>
      </c>
      <c r="N42" s="8">
        <f>M42-INDEX(Settings!$G$4:$G$9,MATCH($E42,Settings!$F$4:$F$9,0))</f>
        <v/>
      </c>
      <c r="O42" s="7">
        <f>N42*INDEX(Settings!$H$4:$H$9,MATCH($E42,Settings!$F$4:$F$9,0))</f>
        <v/>
      </c>
      <c r="P42" s="3" t="inlineStr">
        <is>
          <t>MEDIUM</t>
        </is>
      </c>
      <c r="Q42" s="5" t="inlineStr">
        <is>
          <t>Torn ACL Feb surgery; on PUP; ESPN number too aggressive</t>
        </is>
      </c>
    </row>
    <row r="43">
      <c r="A43" s="3" t="n">
        <v>214</v>
      </c>
      <c r="B43" s="9" t="inlineStr">
        <is>
          <t>RB41</t>
        </is>
      </c>
      <c r="C43" s="5" t="inlineStr">
        <is>
          <t>Jonathon Brooks</t>
        </is>
      </c>
      <c r="D43" s="3" t="inlineStr">
        <is>
          <t>CAR</t>
        </is>
      </c>
      <c r="E43" s="9" t="inlineStr">
        <is>
          <t>RB</t>
        </is>
      </c>
      <c r="F43" s="6" t="n"/>
      <c r="G43" s="6" t="n">
        <v>4.2</v>
      </c>
      <c r="H43" s="6" t="n">
        <v>1.1</v>
      </c>
      <c r="I43" s="6" t="n"/>
      <c r="J43" s="6" t="n"/>
      <c r="K43" s="6" t="n"/>
      <c r="L43" s="6" t="n"/>
      <c r="M43" s="7">
        <f>F43*Settings!$B$4+G43*Settings!$B$5+H43*Settings!$B$6+I43*Settings!$B$7+J43*Settings!$B$8+K43*Settings!$B$9+L43*Settings!$B$10</f>
        <v/>
      </c>
      <c r="N43" s="8">
        <f>M43-INDEX(Settings!$G$4:$G$9,MATCH($E43,Settings!$F$4:$F$9,0))</f>
        <v/>
      </c>
      <c r="O43" s="7">
        <f>N43*INDEX(Settings!$H$4:$H$9,MATCH($E43,Settings!$F$4:$F$9,0))</f>
        <v/>
      </c>
      <c r="P43" s="3" t="inlineStr">
        <is>
          <t>HIGH</t>
        </is>
      </c>
      <c r="Q43" s="5" t="inlineStr">
        <is>
          <t>Repeat ACL history</t>
        </is>
      </c>
    </row>
    <row r="44">
      <c r="A44" s="3" t="n">
        <v>228</v>
      </c>
      <c r="B44" s="9" t="inlineStr">
        <is>
          <t>RB42</t>
        </is>
      </c>
      <c r="C44" s="5" t="inlineStr">
        <is>
          <t>Aaron Jones Sr.</t>
        </is>
      </c>
      <c r="D44" s="3" t="inlineStr">
        <is>
          <t>MIN</t>
        </is>
      </c>
      <c r="E44" s="9" t="inlineStr">
        <is>
          <t>RB</t>
        </is>
      </c>
      <c r="F44" s="6" t="n"/>
      <c r="G44" s="6" t="n">
        <v>3.1</v>
      </c>
      <c r="H44" s="6" t="n">
        <v>1.6</v>
      </c>
      <c r="I44" s="6" t="n"/>
      <c r="J44" s="6" t="n"/>
      <c r="K44" s="6" t="n"/>
      <c r="L44" s="6" t="n"/>
      <c r="M44" s="7">
        <f>F44*Settings!$B$4+G44*Settings!$B$5+H44*Settings!$B$6+I44*Settings!$B$7+J44*Settings!$B$8+K44*Settings!$B$9+L44*Settings!$B$10</f>
        <v/>
      </c>
      <c r="N44" s="8">
        <f>M44-INDEX(Settings!$G$4:$G$9,MATCH($E44,Settings!$F$4:$F$9,0))</f>
        <v/>
      </c>
      <c r="O44" s="7">
        <f>N44*INDEX(Settings!$H$4:$H$9,MATCH($E44,Settings!$F$4:$F$9,0))</f>
        <v/>
      </c>
      <c r="P44" s="3" t="inlineStr">
        <is>
          <t>HIGH</t>
        </is>
      </c>
      <c r="Q44" s="5" t="inlineStr"/>
    </row>
    <row r="45">
      <c r="A45" s="3" t="n">
        <v>248</v>
      </c>
      <c r="B45" s="9" t="inlineStr">
        <is>
          <t>RB43</t>
        </is>
      </c>
      <c r="C45" s="5" t="inlineStr">
        <is>
          <t>Isiah Pacheco</t>
        </is>
      </c>
      <c r="D45" s="3" t="inlineStr">
        <is>
          <t>DET</t>
        </is>
      </c>
      <c r="E45" s="9" t="inlineStr">
        <is>
          <t>RB</t>
        </is>
      </c>
      <c r="F45" s="6" t="n"/>
      <c r="G45" s="6" t="n">
        <v>3.8</v>
      </c>
      <c r="H45" s="6" t="n">
        <v>0.4</v>
      </c>
      <c r="I45" s="6" t="n"/>
      <c r="J45" s="6" t="n"/>
      <c r="K45" s="6" t="n"/>
      <c r="L45" s="6" t="n"/>
      <c r="M45" s="7">
        <f>F45*Settings!$B$4+G45*Settings!$B$5+H45*Settings!$B$6+I45*Settings!$B$7+J45*Settings!$B$8+K45*Settings!$B$9+L45*Settings!$B$10</f>
        <v/>
      </c>
      <c r="N45" s="8">
        <f>M45-INDEX(Settings!$G$4:$G$9,MATCH($E45,Settings!$F$4:$F$9,0))</f>
        <v/>
      </c>
      <c r="O45" s="7">
        <f>N45*INDEX(Settings!$H$4:$H$9,MATCH($E45,Settings!$F$4:$F$9,0))</f>
        <v/>
      </c>
      <c r="P45" s="3" t="inlineStr">
        <is>
          <t>HIGH</t>
        </is>
      </c>
      <c r="Q45" s="5" t="inlineStr">
        <is>
          <t>Signed KC to DET</t>
        </is>
      </c>
    </row>
    <row r="46">
      <c r="A46" s="3" t="n">
        <v>249</v>
      </c>
      <c r="B46" s="9" t="inlineStr">
        <is>
          <t>RB44</t>
        </is>
      </c>
      <c r="C46" s="5" t="inlineStr">
        <is>
          <t>Brian Robinson Jr.</t>
        </is>
      </c>
      <c r="D46" s="3" t="inlineStr">
        <is>
          <t>ATL</t>
        </is>
      </c>
      <c r="E46" s="9" t="inlineStr">
        <is>
          <t>RB</t>
        </is>
      </c>
      <c r="F46" s="6" t="n"/>
      <c r="G46" s="6" t="n">
        <v>3.9</v>
      </c>
      <c r="H46" s="6" t="n">
        <v>0.1</v>
      </c>
      <c r="I46" s="6" t="n"/>
      <c r="J46" s="6" t="n"/>
      <c r="K46" s="6" t="n"/>
      <c r="L46" s="6" t="n"/>
      <c r="M46" s="7">
        <f>F46*Settings!$B$4+G46*Settings!$B$5+H46*Settings!$B$6+I46*Settings!$B$7+J46*Settings!$B$8+K46*Settings!$B$9+L46*Settings!$B$10</f>
        <v/>
      </c>
      <c r="N46" s="8">
        <f>M46-INDEX(Settings!$G$4:$G$9,MATCH($E46,Settings!$F$4:$F$9,0))</f>
        <v/>
      </c>
      <c r="O46" s="7">
        <f>N46*INDEX(Settings!$H$4:$H$9,MATCH($E46,Settings!$F$4:$F$9,0))</f>
        <v/>
      </c>
      <c r="P46" s="3" t="inlineStr">
        <is>
          <t>HIGH</t>
        </is>
      </c>
      <c r="Q46" s="5" t="inlineStr">
        <is>
          <t>Vultures Bijan at goal line</t>
        </is>
      </c>
    </row>
    <row r="47">
      <c r="A47" s="3" t="n">
        <v>250</v>
      </c>
      <c r="B47" s="9" t="inlineStr">
        <is>
          <t>RB45</t>
        </is>
      </c>
      <c r="C47" s="5" t="inlineStr">
        <is>
          <t>Tyjae Spears</t>
        </is>
      </c>
      <c r="D47" s="3" t="inlineStr">
        <is>
          <t>TEN</t>
        </is>
      </c>
      <c r="E47" s="9" t="inlineStr">
        <is>
          <t>RB</t>
        </is>
      </c>
      <c r="F47" s="6" t="n"/>
      <c r="G47" s="6" t="n">
        <v>2.5</v>
      </c>
      <c r="H47" s="6" t="n">
        <v>1.3</v>
      </c>
      <c r="I47" s="6" t="n"/>
      <c r="J47" s="6" t="n"/>
      <c r="K47" s="6" t="n"/>
      <c r="L47" s="6" t="n"/>
      <c r="M47" s="7">
        <f>F47*Settings!$B$4+G47*Settings!$B$5+H47*Settings!$B$6+I47*Settings!$B$7+J47*Settings!$B$8+K47*Settings!$B$9+L47*Settings!$B$10</f>
        <v/>
      </c>
      <c r="N47" s="8">
        <f>M47-INDEX(Settings!$G$4:$G$9,MATCH($E47,Settings!$F$4:$F$9,0))</f>
        <v/>
      </c>
      <c r="O47" s="7">
        <f>N47*INDEX(Settings!$H$4:$H$9,MATCH($E47,Settings!$F$4:$F$9,0))</f>
        <v/>
      </c>
      <c r="P47" s="3" t="inlineStr">
        <is>
          <t>HIGH</t>
        </is>
      </c>
      <c r="Q47" s="5" t="inlineStr"/>
    </row>
    <row r="48">
      <c r="A48" s="3" t="n">
        <v>251</v>
      </c>
      <c r="B48" s="9" t="inlineStr">
        <is>
          <t>RB46</t>
        </is>
      </c>
      <c r="C48" s="5" t="inlineStr">
        <is>
          <t>Chris Rodriguez Jr.</t>
        </is>
      </c>
      <c r="D48" s="3" t="inlineStr">
        <is>
          <t>JAX</t>
        </is>
      </c>
      <c r="E48" s="9" t="inlineStr">
        <is>
          <t>RB</t>
        </is>
      </c>
      <c r="F48" s="6" t="n"/>
      <c r="G48" s="6" t="n">
        <v>3.7</v>
      </c>
      <c r="H48" s="6" t="n">
        <v>0.1</v>
      </c>
      <c r="I48" s="6" t="n"/>
      <c r="J48" s="6" t="n"/>
      <c r="K48" s="6" t="n"/>
      <c r="L48" s="6" t="n"/>
      <c r="M48" s="7">
        <f>F48*Settings!$B$4+G48*Settings!$B$5+H48*Settings!$B$6+I48*Settings!$B$7+J48*Settings!$B$8+K48*Settings!$B$9+L48*Settings!$B$10</f>
        <v/>
      </c>
      <c r="N48" s="8">
        <f>M48-INDEX(Settings!$G$4:$G$9,MATCH($E48,Settings!$F$4:$F$9,0))</f>
        <v/>
      </c>
      <c r="O48" s="7">
        <f>N48*INDEX(Settings!$H$4:$H$9,MATCH($E48,Settings!$F$4:$F$9,0))</f>
        <v/>
      </c>
      <c r="P48" s="3" t="inlineStr">
        <is>
          <t>HIGH</t>
        </is>
      </c>
      <c r="Q48" s="5" t="inlineStr">
        <is>
          <t>SLEEPER: hand-picked by Coen as goal-line back over Tuten</t>
        </is>
      </c>
    </row>
    <row r="49">
      <c r="A49" s="3" t="n">
        <v>252</v>
      </c>
      <c r="B49" s="9" t="inlineStr">
        <is>
          <t>RB47</t>
        </is>
      </c>
      <c r="C49" s="5" t="inlineStr">
        <is>
          <t>Woody Marks</t>
        </is>
      </c>
      <c r="D49" s="3" t="inlineStr">
        <is>
          <t>HOU</t>
        </is>
      </c>
      <c r="E49" s="9" t="inlineStr">
        <is>
          <t>RB</t>
        </is>
      </c>
      <c r="F49" s="6" t="n"/>
      <c r="G49" s="6" t="n">
        <v>2.5</v>
      </c>
      <c r="H49" s="6" t="n">
        <v>1.1</v>
      </c>
      <c r="I49" s="6" t="n"/>
      <c r="J49" s="6" t="n"/>
      <c r="K49" s="6" t="n"/>
      <c r="L49" s="6" t="n"/>
      <c r="M49" s="7">
        <f>F49*Settings!$B$4+G49*Settings!$B$5+H49*Settings!$B$6+I49*Settings!$B$7+J49*Settings!$B$8+K49*Settings!$B$9+L49*Settings!$B$10</f>
        <v/>
      </c>
      <c r="N49" s="8">
        <f>M49-INDEX(Settings!$G$4:$G$9,MATCH($E49,Settings!$F$4:$F$9,0))</f>
        <v/>
      </c>
      <c r="O49" s="7">
        <f>N49*INDEX(Settings!$H$4:$H$9,MATCH($E49,Settings!$F$4:$F$9,0))</f>
        <v/>
      </c>
      <c r="P49" s="3" t="inlineStr">
        <is>
          <t>HIGH</t>
        </is>
      </c>
      <c r="Q49" s="5" t="inlineStr"/>
    </row>
    <row r="50">
      <c r="A50" s="3" t="n">
        <v>254</v>
      </c>
      <c r="B50" s="9" t="inlineStr">
        <is>
          <t>RB48</t>
        </is>
      </c>
      <c r="C50" s="5" t="inlineStr">
        <is>
          <t>Samaje Perine</t>
        </is>
      </c>
      <c r="D50" s="3" t="inlineStr">
        <is>
          <t>CIN</t>
        </is>
      </c>
      <c r="E50" s="9" t="inlineStr">
        <is>
          <t>RB</t>
        </is>
      </c>
      <c r="F50" s="6" t="n"/>
      <c r="G50" s="6" t="n">
        <v>2.6</v>
      </c>
      <c r="H50" s="6" t="n">
        <v>0.8</v>
      </c>
      <c r="I50" s="6" t="n"/>
      <c r="J50" s="6" t="n"/>
      <c r="K50" s="6" t="n"/>
      <c r="L50" s="6" t="n"/>
      <c r="M50" s="7">
        <f>F50*Settings!$B$4+G50*Settings!$B$5+H50*Settings!$B$6+I50*Settings!$B$7+J50*Settings!$B$8+K50*Settings!$B$9+L50*Settings!$B$10</f>
        <v/>
      </c>
      <c r="N50" s="8">
        <f>M50-INDEX(Settings!$G$4:$G$9,MATCH($E50,Settings!$F$4:$F$9,0))</f>
        <v/>
      </c>
      <c r="O50" s="7">
        <f>N50*INDEX(Settings!$H$4:$H$9,MATCH($E50,Settings!$F$4:$F$9,0))</f>
        <v/>
      </c>
      <c r="P50" s="3" t="inlineStr">
        <is>
          <t>HIGH</t>
        </is>
      </c>
      <c r="Q50" s="5" t="inlineStr"/>
    </row>
    <row r="51">
      <c r="A51" s="3" t="n">
        <v>255</v>
      </c>
      <c r="B51" s="9" t="inlineStr">
        <is>
          <t>RB49</t>
        </is>
      </c>
      <c r="C51" s="5" t="inlineStr">
        <is>
          <t>Alvin Kamara</t>
        </is>
      </c>
      <c r="D51" s="3" t="inlineStr">
        <is>
          <t>NO</t>
        </is>
      </c>
      <c r="E51" s="9" t="inlineStr">
        <is>
          <t>RB</t>
        </is>
      </c>
      <c r="F51" s="6" t="n"/>
      <c r="G51" s="6" t="n">
        <v>2</v>
      </c>
      <c r="H51" s="6" t="n">
        <v>1.4</v>
      </c>
      <c r="I51" s="6" t="n"/>
      <c r="J51" s="6" t="n"/>
      <c r="K51" s="6" t="n"/>
      <c r="L51" s="6" t="n"/>
      <c r="M51" s="7">
        <f>F51*Settings!$B$4+G51*Settings!$B$5+H51*Settings!$B$6+I51*Settings!$B$7+J51*Settings!$B$8+K51*Settings!$B$9+L51*Settings!$B$10</f>
        <v/>
      </c>
      <c r="N51" s="8">
        <f>M51-INDEX(Settings!$G$4:$G$9,MATCH($E51,Settings!$F$4:$F$9,0))</f>
        <v/>
      </c>
      <c r="O51" s="7">
        <f>N51*INDEX(Settings!$H$4:$H$9,MATCH($E51,Settings!$F$4:$F$9,0))</f>
        <v/>
      </c>
      <c r="P51" s="3" t="inlineStr">
        <is>
          <t>HIGH</t>
        </is>
      </c>
      <c r="Q51" s="5" t="inlineStr">
        <is>
          <t>Declining</t>
        </is>
      </c>
    </row>
    <row r="52">
      <c r="A52" s="3" t="n">
        <v>256</v>
      </c>
      <c r="B52" s="9" t="inlineStr">
        <is>
          <t>RB50</t>
        </is>
      </c>
      <c r="C52" s="5" t="inlineStr">
        <is>
          <t>Tyler Allgeier</t>
        </is>
      </c>
      <c r="D52" s="3" t="inlineStr">
        <is>
          <t>ARI</t>
        </is>
      </c>
      <c r="E52" s="9" t="inlineStr">
        <is>
          <t>RB</t>
        </is>
      </c>
      <c r="F52" s="6" t="n"/>
      <c r="G52" s="6" t="n">
        <v>3.1</v>
      </c>
      <c r="H52" s="6" t="n">
        <v>0.2</v>
      </c>
      <c r="I52" s="6" t="n"/>
      <c r="J52" s="6" t="n"/>
      <c r="K52" s="6" t="n"/>
      <c r="L52" s="6" t="n"/>
      <c r="M52" s="7">
        <f>F52*Settings!$B$4+G52*Settings!$B$5+H52*Settings!$B$6+I52*Settings!$B$7+J52*Settings!$B$8+K52*Settings!$B$9+L52*Settings!$B$10</f>
        <v/>
      </c>
      <c r="N52" s="8">
        <f>M52-INDEX(Settings!$G$4:$G$9,MATCH($E52,Settings!$F$4:$F$9,0))</f>
        <v/>
      </c>
      <c r="O52" s="7">
        <f>N52*INDEX(Settings!$H$4:$H$9,MATCH($E52,Settings!$F$4:$F$9,0))</f>
        <v/>
      </c>
      <c r="P52" s="3" t="inlineStr">
        <is>
          <t>HIGH</t>
        </is>
      </c>
      <c r="Q52" s="5" t="inlineStr">
        <is>
          <t>Opened camp ahead of rookie Love</t>
        </is>
      </c>
    </row>
    <row r="53">
      <c r="A53" s="3" t="n">
        <v>257</v>
      </c>
      <c r="B53" s="9" t="inlineStr">
        <is>
          <t>RB51</t>
        </is>
      </c>
      <c r="C53" s="5" t="inlineStr">
        <is>
          <t>Tank Bigsby</t>
        </is>
      </c>
      <c r="D53" s="3" t="inlineStr">
        <is>
          <t>PHI</t>
        </is>
      </c>
      <c r="E53" s="9" t="inlineStr">
        <is>
          <t>RB</t>
        </is>
      </c>
      <c r="F53" s="6" t="n"/>
      <c r="G53" s="6" t="n">
        <v>3.2</v>
      </c>
      <c r="H53" s="6" t="n">
        <v>0.1</v>
      </c>
      <c r="I53" s="6" t="n"/>
      <c r="J53" s="6" t="n"/>
      <c r="K53" s="6" t="n"/>
      <c r="L53" s="6" t="n"/>
      <c r="M53" s="7">
        <f>F53*Settings!$B$4+G53*Settings!$B$5+H53*Settings!$B$6+I53*Settings!$B$7+J53*Settings!$B$8+K53*Settings!$B$9+L53*Settings!$B$10</f>
        <v/>
      </c>
      <c r="N53" s="8">
        <f>M53-INDEX(Settings!$G$4:$G$9,MATCH($E53,Settings!$F$4:$F$9,0))</f>
        <v/>
      </c>
      <c r="O53" s="7">
        <f>N53*INDEX(Settings!$H$4:$H$9,MATCH($E53,Settings!$F$4:$F$9,0))</f>
        <v/>
      </c>
      <c r="P53" s="3" t="inlineStr">
        <is>
          <t>HIGH</t>
        </is>
      </c>
      <c r="Q53" s="5" t="inlineStr"/>
    </row>
    <row r="54">
      <c r="A54" s="3" t="n">
        <v>258</v>
      </c>
      <c r="B54" s="9" t="inlineStr">
        <is>
          <t>RB52</t>
        </is>
      </c>
      <c r="C54" s="5" t="inlineStr">
        <is>
          <t>Ty Johnson</t>
        </is>
      </c>
      <c r="D54" s="3" t="inlineStr">
        <is>
          <t>BUF</t>
        </is>
      </c>
      <c r="E54" s="9" t="inlineStr">
        <is>
          <t>RB</t>
        </is>
      </c>
      <c r="F54" s="6" t="n"/>
      <c r="G54" s="6" t="n">
        <v>1.6</v>
      </c>
      <c r="H54" s="6" t="n">
        <v>1.6</v>
      </c>
      <c r="I54" s="6" t="n"/>
      <c r="J54" s="6" t="n"/>
      <c r="K54" s="6" t="n"/>
      <c r="L54" s="6" t="n"/>
      <c r="M54" s="7">
        <f>F54*Settings!$B$4+G54*Settings!$B$5+H54*Settings!$B$6+I54*Settings!$B$7+J54*Settings!$B$8+K54*Settings!$B$9+L54*Settings!$B$10</f>
        <v/>
      </c>
      <c r="N54" s="8">
        <f>M54-INDEX(Settings!$G$4:$G$9,MATCH($E54,Settings!$F$4:$F$9,0))</f>
        <v/>
      </c>
      <c r="O54" s="7">
        <f>N54*INDEX(Settings!$H$4:$H$9,MATCH($E54,Settings!$F$4:$F$9,0))</f>
        <v/>
      </c>
      <c r="P54" s="3" t="inlineStr">
        <is>
          <t>HIGH</t>
        </is>
      </c>
      <c r="Q54" s="5" t="inlineStr"/>
    </row>
    <row r="55">
      <c r="A55" s="3" t="n">
        <v>259</v>
      </c>
      <c r="B55" s="9" t="inlineStr">
        <is>
          <t>RB53</t>
        </is>
      </c>
      <c r="C55" s="5" t="inlineStr">
        <is>
          <t>MarShawn Lloyd</t>
        </is>
      </c>
      <c r="D55" s="3" t="inlineStr">
        <is>
          <t>GB</t>
        </is>
      </c>
      <c r="E55" s="9" t="inlineStr">
        <is>
          <t>RB</t>
        </is>
      </c>
      <c r="F55" s="6" t="n"/>
      <c r="G55" s="6" t="n">
        <v>2.9</v>
      </c>
      <c r="H55" s="6" t="n">
        <v>0.3</v>
      </c>
      <c r="I55" s="6" t="n"/>
      <c r="J55" s="6" t="n"/>
      <c r="K55" s="6" t="n"/>
      <c r="L55" s="6" t="n"/>
      <c r="M55" s="7">
        <f>F55*Settings!$B$4+G55*Settings!$B$5+H55*Settings!$B$6+I55*Settings!$B$7+J55*Settings!$B$8+K55*Settings!$B$9+L55*Settings!$B$10</f>
        <v/>
      </c>
      <c r="N55" s="8">
        <f>M55-INDEX(Settings!$G$4:$G$9,MATCH($E55,Settings!$F$4:$F$9,0))</f>
        <v/>
      </c>
      <c r="O55" s="7">
        <f>N55*INDEX(Settings!$H$4:$H$9,MATCH($E55,Settings!$F$4:$F$9,0))</f>
        <v/>
      </c>
      <c r="P55" s="3" t="inlineStr">
        <is>
          <t>HIGH</t>
        </is>
      </c>
      <c r="Q55" s="5" t="inlineStr"/>
    </row>
    <row r="56">
      <c r="A56" s="3" t="n">
        <v>260</v>
      </c>
      <c r="B56" s="9" t="inlineStr">
        <is>
          <t>RB54</t>
        </is>
      </c>
      <c r="C56" s="5" t="inlineStr">
        <is>
          <t>Braelon Allen</t>
        </is>
      </c>
      <c r="D56" s="3" t="inlineStr">
        <is>
          <t>NYJ</t>
        </is>
      </c>
      <c r="E56" s="9" t="inlineStr">
        <is>
          <t>RB</t>
        </is>
      </c>
      <c r="F56" s="6" t="n"/>
      <c r="G56" s="6" t="n">
        <v>3</v>
      </c>
      <c r="H56" s="6" t="n">
        <v>0.2</v>
      </c>
      <c r="I56" s="6" t="n"/>
      <c r="J56" s="6" t="n"/>
      <c r="K56" s="6" t="n"/>
      <c r="L56" s="6" t="n"/>
      <c r="M56" s="7">
        <f>F56*Settings!$B$4+G56*Settings!$B$5+H56*Settings!$B$6+I56*Settings!$B$7+J56*Settings!$B$8+K56*Settings!$B$9+L56*Settings!$B$10</f>
        <v/>
      </c>
      <c r="N56" s="8">
        <f>M56-INDEX(Settings!$G$4:$G$9,MATCH($E56,Settings!$F$4:$F$9,0))</f>
        <v/>
      </c>
      <c r="O56" s="7">
        <f>N56*INDEX(Settings!$H$4:$H$9,MATCH($E56,Settings!$F$4:$F$9,0))</f>
        <v/>
      </c>
      <c r="P56" s="3" t="inlineStr">
        <is>
          <t>HIGH</t>
        </is>
      </c>
      <c r="Q56" s="5" t="inlineStr"/>
    </row>
    <row r="57">
      <c r="A57" s="3" t="n">
        <v>261</v>
      </c>
      <c r="B57" s="9" t="inlineStr">
        <is>
          <t>RB55</t>
        </is>
      </c>
      <c r="C57" s="5" t="inlineStr">
        <is>
          <t>Keaton Mitchell</t>
        </is>
      </c>
      <c r="D57" s="3" t="inlineStr">
        <is>
          <t>LAC</t>
        </is>
      </c>
      <c r="E57" s="9" t="inlineStr">
        <is>
          <t>RB</t>
        </is>
      </c>
      <c r="F57" s="6" t="n"/>
      <c r="G57" s="6" t="n">
        <v>2.2</v>
      </c>
      <c r="H57" s="6" t="n">
        <v>0.9</v>
      </c>
      <c r="I57" s="6" t="n"/>
      <c r="J57" s="6" t="n"/>
      <c r="K57" s="6" t="n"/>
      <c r="L57" s="6" t="n"/>
      <c r="M57" s="7">
        <f>F57*Settings!$B$4+G57*Settings!$B$5+H57*Settings!$B$6+I57*Settings!$B$7+J57*Settings!$B$8+K57*Settings!$B$9+L57*Settings!$B$10</f>
        <v/>
      </c>
      <c r="N57" s="8">
        <f>M57-INDEX(Settings!$G$4:$G$9,MATCH($E57,Settings!$F$4:$F$9,0))</f>
        <v/>
      </c>
      <c r="O57" s="7">
        <f>N57*INDEX(Settings!$H$4:$H$9,MATCH($E57,Settings!$F$4:$F$9,0))</f>
        <v/>
      </c>
      <c r="P57" s="3" t="inlineStr">
        <is>
          <t>HIGH</t>
        </is>
      </c>
      <c r="Q57" s="5" t="inlineStr"/>
    </row>
    <row r="58">
      <c r="A58" s="3" t="n">
        <v>262</v>
      </c>
      <c r="B58" s="9" t="inlineStr">
        <is>
          <t>RB56</t>
        </is>
      </c>
      <c r="C58" s="5" t="inlineStr">
        <is>
          <t>Justice Hill</t>
        </is>
      </c>
      <c r="D58" s="3" t="inlineStr">
        <is>
          <t>BAL</t>
        </is>
      </c>
      <c r="E58" s="9" t="inlineStr">
        <is>
          <t>RB</t>
        </is>
      </c>
      <c r="F58" s="6" t="n"/>
      <c r="G58" s="6" t="n">
        <v>1.7</v>
      </c>
      <c r="H58" s="6" t="n">
        <v>1.4</v>
      </c>
      <c r="I58" s="6" t="n"/>
      <c r="J58" s="6" t="n"/>
      <c r="K58" s="6" t="n"/>
      <c r="L58" s="6" t="n"/>
      <c r="M58" s="7">
        <f>F58*Settings!$B$4+G58*Settings!$B$5+H58*Settings!$B$6+I58*Settings!$B$7+J58*Settings!$B$8+K58*Settings!$B$9+L58*Settings!$B$10</f>
        <v/>
      </c>
      <c r="N58" s="8">
        <f>M58-INDEX(Settings!$G$4:$G$9,MATCH($E58,Settings!$F$4:$F$9,0))</f>
        <v/>
      </c>
      <c r="O58" s="7">
        <f>N58*INDEX(Settings!$H$4:$H$9,MATCH($E58,Settings!$F$4:$F$9,0))</f>
        <v/>
      </c>
      <c r="P58" s="3" t="inlineStr">
        <is>
          <t>HIGH</t>
        </is>
      </c>
      <c r="Q58" s="5" t="inlineStr"/>
    </row>
    <row r="59">
      <c r="A59" s="3" t="n">
        <v>263</v>
      </c>
      <c r="B59" s="9" t="inlineStr">
        <is>
          <t>RB57</t>
        </is>
      </c>
      <c r="C59" s="5" t="inlineStr">
        <is>
          <t>Sean Tucker</t>
        </is>
      </c>
      <c r="D59" s="3" t="inlineStr">
        <is>
          <t>TB</t>
        </is>
      </c>
      <c r="E59" s="9" t="inlineStr">
        <is>
          <t>RB</t>
        </is>
      </c>
      <c r="F59" s="6" t="n"/>
      <c r="G59" s="6" t="n">
        <v>2.7</v>
      </c>
      <c r="H59" s="6" t="n">
        <v>0.1</v>
      </c>
      <c r="I59" s="6" t="n"/>
      <c r="J59" s="6" t="n"/>
      <c r="K59" s="6" t="n"/>
      <c r="L59" s="6" t="n"/>
      <c r="M59" s="7">
        <f>F59*Settings!$B$4+G59*Settings!$B$5+H59*Settings!$B$6+I59*Settings!$B$7+J59*Settings!$B$8+K59*Settings!$B$9+L59*Settings!$B$10</f>
        <v/>
      </c>
      <c r="N59" s="8">
        <f>M59-INDEX(Settings!$G$4:$G$9,MATCH($E59,Settings!$F$4:$F$9,0))</f>
        <v/>
      </c>
      <c r="O59" s="7">
        <f>N59*INDEX(Settings!$H$4:$H$9,MATCH($E59,Settings!$F$4:$F$9,0))</f>
        <v/>
      </c>
      <c r="P59" s="3" t="inlineStr">
        <is>
          <t>LOW</t>
        </is>
      </c>
      <c r="Q59" s="5" t="inlineStr">
        <is>
          <t>BIGGEST SLEEPER: owns TB goal line; scored 8 TD in 2025 6 in final 8 games; projection is a volume artifact</t>
        </is>
      </c>
    </row>
    <row r="60">
      <c r="A60" s="3" t="n">
        <v>264</v>
      </c>
      <c r="B60" s="9" t="inlineStr">
        <is>
          <t>RB58</t>
        </is>
      </c>
      <c r="C60" s="5" t="inlineStr">
        <is>
          <t>Dylan Sampson</t>
        </is>
      </c>
      <c r="D60" s="3" t="inlineStr">
        <is>
          <t>CLE</t>
        </is>
      </c>
      <c r="E60" s="9" t="inlineStr">
        <is>
          <t>RB</t>
        </is>
      </c>
      <c r="F60" s="6" t="n"/>
      <c r="G60" s="6" t="n">
        <v>1.1</v>
      </c>
      <c r="H60" s="6" t="n">
        <v>1.6</v>
      </c>
      <c r="I60" s="6" t="n"/>
      <c r="J60" s="6" t="n"/>
      <c r="K60" s="6" t="n"/>
      <c r="L60" s="6" t="n"/>
      <c r="M60" s="7">
        <f>F60*Settings!$B$4+G60*Settings!$B$5+H60*Settings!$B$6+I60*Settings!$B$7+J60*Settings!$B$8+K60*Settings!$B$9+L60*Settings!$B$10</f>
        <v/>
      </c>
      <c r="N60" s="8">
        <f>M60-INDEX(Settings!$G$4:$G$9,MATCH($E60,Settings!$F$4:$F$9,0))</f>
        <v/>
      </c>
      <c r="O60" s="7">
        <f>N60*INDEX(Settings!$H$4:$H$9,MATCH($E60,Settings!$F$4:$F$9,0))</f>
        <v/>
      </c>
      <c r="P60" s="3" t="inlineStr">
        <is>
          <t>HIGH</t>
        </is>
      </c>
      <c r="Q60" s="5" t="inlineStr"/>
    </row>
    <row r="61">
      <c r="A61" s="3" t="n">
        <v>266</v>
      </c>
      <c r="B61" s="9" t="inlineStr">
        <is>
          <t>RB59</t>
        </is>
      </c>
      <c r="C61" s="5" t="inlineStr">
        <is>
          <t>Jonah Coleman</t>
        </is>
      </c>
      <c r="D61" s="3" t="inlineStr">
        <is>
          <t>DEN</t>
        </is>
      </c>
      <c r="E61" s="9" t="inlineStr">
        <is>
          <t>RB</t>
        </is>
      </c>
      <c r="F61" s="6" t="n"/>
      <c r="G61" s="6" t="n">
        <v>2</v>
      </c>
      <c r="H61" s="6" t="n">
        <v>0.4</v>
      </c>
      <c r="I61" s="6" t="n"/>
      <c r="J61" s="6" t="n"/>
      <c r="K61" s="6" t="n"/>
      <c r="L61" s="6" t="n"/>
      <c r="M61" s="7">
        <f>F61*Settings!$B$4+G61*Settings!$B$5+H61*Settings!$B$6+I61*Settings!$B$7+J61*Settings!$B$8+K61*Settings!$B$9+L61*Settings!$B$10</f>
        <v/>
      </c>
      <c r="N61" s="8">
        <f>M61-INDEX(Settings!$G$4:$G$9,MATCH($E61,Settings!$F$4:$F$9,0))</f>
        <v/>
      </c>
      <c r="O61" s="7">
        <f>N61*INDEX(Settings!$H$4:$H$9,MATCH($E61,Settings!$F$4:$F$9,0))</f>
        <v/>
      </c>
      <c r="P61" s="3" t="inlineStr">
        <is>
          <t>HIGH</t>
        </is>
      </c>
      <c r="Q61" s="5" t="inlineStr">
        <is>
          <t>Rookie GL insurance</t>
        </is>
      </c>
    </row>
    <row r="62">
      <c r="A62" s="3" t="n">
        <v>268</v>
      </c>
      <c r="B62" s="9" t="inlineStr">
        <is>
          <t>RB60</t>
        </is>
      </c>
      <c r="C62" s="5" t="inlineStr">
        <is>
          <t>Ray Davis</t>
        </is>
      </c>
      <c r="D62" s="3" t="inlineStr">
        <is>
          <t>BUF</t>
        </is>
      </c>
      <c r="E62" s="9" t="inlineStr">
        <is>
          <t>RB</t>
        </is>
      </c>
      <c r="F62" s="6" t="n"/>
      <c r="G62" s="6" t="n">
        <v>1.6</v>
      </c>
      <c r="H62" s="6" t="n">
        <v>0.7</v>
      </c>
      <c r="I62" s="6" t="n"/>
      <c r="J62" s="6" t="n"/>
      <c r="K62" s="6" t="n"/>
      <c r="L62" s="6" t="n"/>
      <c r="M62" s="7">
        <f>F62*Settings!$B$4+G62*Settings!$B$5+H62*Settings!$B$6+I62*Settings!$B$7+J62*Settings!$B$8+K62*Settings!$B$9+L62*Settings!$B$10</f>
        <v/>
      </c>
      <c r="N62" s="8">
        <f>M62-INDEX(Settings!$G$4:$G$9,MATCH($E62,Settings!$F$4:$F$9,0))</f>
        <v/>
      </c>
      <c r="O62" s="7">
        <f>N62*INDEX(Settings!$H$4:$H$9,MATCH($E62,Settings!$F$4:$F$9,0))</f>
        <v/>
      </c>
      <c r="P62" s="3" t="inlineStr">
        <is>
          <t>HIGH</t>
        </is>
      </c>
      <c r="Q62" s="5" t="inlineStr"/>
    </row>
    <row r="63">
      <c r="A63" s="3" t="n">
        <v>269</v>
      </c>
      <c r="B63" s="9" t="inlineStr">
        <is>
          <t>RB61</t>
        </is>
      </c>
      <c r="C63" s="5" t="inlineStr">
        <is>
          <t>Najee Harris</t>
        </is>
      </c>
      <c r="D63" s="3" t="inlineStr">
        <is>
          <t>NYG</t>
        </is>
      </c>
      <c r="E63" s="9" t="inlineStr">
        <is>
          <t>RB</t>
        </is>
      </c>
      <c r="F63" s="6" t="n"/>
      <c r="G63" s="6" t="n">
        <v>2.1</v>
      </c>
      <c r="H63" s="6" t="n">
        <v>0.2</v>
      </c>
      <c r="I63" s="6" t="n"/>
      <c r="J63" s="6" t="n"/>
      <c r="K63" s="6" t="n"/>
      <c r="L63" s="6" t="n"/>
      <c r="M63" s="7">
        <f>F63*Settings!$B$4+G63*Settings!$B$5+H63*Settings!$B$6+I63*Settings!$B$7+J63*Settings!$B$8+K63*Settings!$B$9+L63*Settings!$B$10</f>
        <v/>
      </c>
      <c r="N63" s="8">
        <f>M63-INDEX(Settings!$G$4:$G$9,MATCH($E63,Settings!$F$4:$F$9,0))</f>
        <v/>
      </c>
      <c r="O63" s="7">
        <f>N63*INDEX(Settings!$H$4:$H$9,MATCH($E63,Settings!$F$4:$F$9,0))</f>
        <v/>
      </c>
      <c r="P63" s="3" t="inlineStr">
        <is>
          <t>HIGH</t>
        </is>
      </c>
      <c r="Q63" s="5" t="inlineStr">
        <is>
          <t>Signed to NYG</t>
        </is>
      </c>
    </row>
    <row r="64">
      <c r="A64" s="3" t="n">
        <v>270</v>
      </c>
      <c r="B64" s="9" t="inlineStr">
        <is>
          <t>RB62</t>
        </is>
      </c>
      <c r="C64" s="5" t="inlineStr">
        <is>
          <t>Mike Washington Jr.</t>
        </is>
      </c>
      <c r="D64" s="3" t="inlineStr">
        <is>
          <t>LV</t>
        </is>
      </c>
      <c r="E64" s="9" t="inlineStr">
        <is>
          <t>RB</t>
        </is>
      </c>
      <c r="F64" s="6" t="n"/>
      <c r="G64" s="6" t="n">
        <v>2.1</v>
      </c>
      <c r="H64" s="6" t="n">
        <v>0.1</v>
      </c>
      <c r="I64" s="6" t="n"/>
      <c r="J64" s="6" t="n"/>
      <c r="K64" s="6" t="n"/>
      <c r="L64" s="6" t="n"/>
      <c r="M64" s="7">
        <f>F64*Settings!$B$4+G64*Settings!$B$5+H64*Settings!$B$6+I64*Settings!$B$7+J64*Settings!$B$8+K64*Settings!$B$9+L64*Settings!$B$10</f>
        <v/>
      </c>
      <c r="N64" s="8">
        <f>M64-INDEX(Settings!$G$4:$G$9,MATCH($E64,Settings!$F$4:$F$9,0))</f>
        <v/>
      </c>
      <c r="O64" s="7">
        <f>N64*INDEX(Settings!$H$4:$H$9,MATCH($E64,Settings!$F$4:$F$9,0))</f>
        <v/>
      </c>
      <c r="P64" s="3" t="inlineStr">
        <is>
          <t>HIGH</t>
        </is>
      </c>
      <c r="Q64" s="5" t="inlineStr">
        <is>
          <t>Rookie backup to Jeanty</t>
        </is>
      </c>
    </row>
    <row r="65">
      <c r="A65" s="3" t="n">
        <v>272</v>
      </c>
      <c r="B65" s="9" t="inlineStr">
        <is>
          <t>RB63</t>
        </is>
      </c>
      <c r="C65" s="5" t="inlineStr">
        <is>
          <t>George Holani</t>
        </is>
      </c>
      <c r="D65" s="3" t="inlineStr">
        <is>
          <t>SEA</t>
        </is>
      </c>
      <c r="E65" s="9" t="inlineStr">
        <is>
          <t>RB</t>
        </is>
      </c>
      <c r="F65" s="6" t="n"/>
      <c r="G65" s="6" t="n">
        <v>1.8</v>
      </c>
      <c r="H65" s="6" t="n">
        <v>0.1</v>
      </c>
      <c r="I65" s="6" t="n"/>
      <c r="J65" s="6" t="n"/>
      <c r="K65" s="6" t="n"/>
      <c r="L65" s="6" t="n"/>
      <c r="M65" s="7">
        <f>F65*Settings!$B$4+G65*Settings!$B$5+H65*Settings!$B$6+I65*Settings!$B$7+J65*Settings!$B$8+K65*Settings!$B$9+L65*Settings!$B$10</f>
        <v/>
      </c>
      <c r="N65" s="8">
        <f>M65-INDEX(Settings!$G$4:$G$9,MATCH($E65,Settings!$F$4:$F$9,0))</f>
        <v/>
      </c>
      <c r="O65" s="7">
        <f>N65*INDEX(Settings!$H$4:$H$9,MATCH($E65,Settings!$F$4:$F$9,0))</f>
        <v/>
      </c>
      <c r="P65" s="3" t="inlineStr">
        <is>
          <t>HIGH</t>
        </is>
      </c>
      <c r="Q65" s="5" t="inlineStr"/>
    </row>
    <row r="66">
      <c r="A66" s="3" t="n">
        <v>273</v>
      </c>
      <c r="B66" s="9" t="inlineStr">
        <is>
          <t>RB64</t>
        </is>
      </c>
      <c r="C66" s="5" t="inlineStr">
        <is>
          <t>Tyrone Tracy Jr.</t>
        </is>
      </c>
      <c r="D66" s="3" t="inlineStr">
        <is>
          <t>NYG</t>
        </is>
      </c>
      <c r="E66" s="9" t="inlineStr">
        <is>
          <t>RB</t>
        </is>
      </c>
      <c r="F66" s="6" t="n"/>
      <c r="G66" s="6" t="n">
        <v>1.2</v>
      </c>
      <c r="H66" s="6" t="n">
        <v>0.7</v>
      </c>
      <c r="I66" s="6" t="n"/>
      <c r="J66" s="6" t="n"/>
      <c r="K66" s="6" t="n"/>
      <c r="L66" s="6" t="n"/>
      <c r="M66" s="7">
        <f>F66*Settings!$B$4+G66*Settings!$B$5+H66*Settings!$B$6+I66*Settings!$B$7+J66*Settings!$B$8+K66*Settings!$B$9+L66*Settings!$B$10</f>
        <v/>
      </c>
      <c r="N66" s="8">
        <f>M66-INDEX(Settings!$G$4:$G$9,MATCH($E66,Settings!$F$4:$F$9,0))</f>
        <v/>
      </c>
      <c r="O66" s="7">
        <f>N66*INDEX(Settings!$H$4:$H$9,MATCH($E66,Settings!$F$4:$F$9,0))</f>
        <v/>
      </c>
      <c r="P66" s="3" t="inlineStr">
        <is>
          <t>HIGH</t>
        </is>
      </c>
      <c r="Q66" s="5" t="inlineStr"/>
    </row>
    <row r="67">
      <c r="A67" s="3" t="n">
        <v>274</v>
      </c>
      <c r="B67" s="9" t="inlineStr">
        <is>
          <t>RB65</t>
        </is>
      </c>
      <c r="C67" s="5" t="inlineStr">
        <is>
          <t>Kaelon Black</t>
        </is>
      </c>
      <c r="D67" s="3" t="inlineStr">
        <is>
          <t>SF</t>
        </is>
      </c>
      <c r="E67" s="9" t="inlineStr">
        <is>
          <t>RB</t>
        </is>
      </c>
      <c r="F67" s="6" t="n"/>
      <c r="G67" s="6" t="n">
        <v>1.6</v>
      </c>
      <c r="H67" s="6" t="n">
        <v>0.2</v>
      </c>
      <c r="I67" s="6" t="n"/>
      <c r="J67" s="6" t="n"/>
      <c r="K67" s="6" t="n"/>
      <c r="L67" s="6" t="n"/>
      <c r="M67" s="7">
        <f>F67*Settings!$B$4+G67*Settings!$B$5+H67*Settings!$B$6+I67*Settings!$B$7+J67*Settings!$B$8+K67*Settings!$B$9+L67*Settings!$B$10</f>
        <v/>
      </c>
      <c r="N67" s="8">
        <f>M67-INDEX(Settings!$G$4:$G$9,MATCH($E67,Settings!$F$4:$F$9,0))</f>
        <v/>
      </c>
      <c r="O67" s="7">
        <f>N67*INDEX(Settings!$H$4:$H$9,MATCH($E67,Settings!$F$4:$F$9,0))</f>
        <v/>
      </c>
      <c r="P67" s="3" t="inlineStr">
        <is>
          <t>HIGH</t>
        </is>
      </c>
      <c r="Q67" s="5" t="inlineStr">
        <is>
          <t>Rookie</t>
        </is>
      </c>
    </row>
    <row r="68">
      <c r="A68" s="3" t="n">
        <v>275</v>
      </c>
      <c r="B68" s="9" t="inlineStr">
        <is>
          <t>RB66</t>
        </is>
      </c>
      <c r="C68" s="5" t="inlineStr">
        <is>
          <t>Kimani Vidal</t>
        </is>
      </c>
      <c r="D68" s="3" t="inlineStr">
        <is>
          <t>LAC</t>
        </is>
      </c>
      <c r="E68" s="9" t="inlineStr">
        <is>
          <t>RB</t>
        </is>
      </c>
      <c r="F68" s="6" t="n"/>
      <c r="G68" s="6" t="n">
        <v>1.6</v>
      </c>
      <c r="H68" s="6" t="n">
        <v>0.2</v>
      </c>
      <c r="I68" s="6" t="n"/>
      <c r="J68" s="6" t="n"/>
      <c r="K68" s="6" t="n"/>
      <c r="L68" s="6" t="n"/>
      <c r="M68" s="7">
        <f>F68*Settings!$B$4+G68*Settings!$B$5+H68*Settings!$B$6+I68*Settings!$B$7+J68*Settings!$B$8+K68*Settings!$B$9+L68*Settings!$B$10</f>
        <v/>
      </c>
      <c r="N68" s="8">
        <f>M68-INDEX(Settings!$G$4:$G$9,MATCH($E68,Settings!$F$4:$F$9,0))</f>
        <v/>
      </c>
      <c r="O68" s="7">
        <f>N68*INDEX(Settings!$H$4:$H$9,MATCH($E68,Settings!$F$4:$F$9,0))</f>
        <v/>
      </c>
      <c r="P68" s="3" t="inlineStr">
        <is>
          <t>HIGH</t>
        </is>
      </c>
      <c r="Q68" s="5" t="inlineStr"/>
    </row>
    <row r="69">
      <c r="A69" s="3" t="n">
        <v>276</v>
      </c>
      <c r="B69" s="9" t="inlineStr">
        <is>
          <t>RB67</t>
        </is>
      </c>
      <c r="C69" s="5" t="inlineStr">
        <is>
          <t>Jaydon Blue</t>
        </is>
      </c>
      <c r="D69" s="3" t="inlineStr">
        <is>
          <t>DAL</t>
        </is>
      </c>
      <c r="E69" s="9" t="inlineStr">
        <is>
          <t>RB</t>
        </is>
      </c>
      <c r="F69" s="6" t="n"/>
      <c r="G69" s="6" t="n">
        <v>1.5</v>
      </c>
      <c r="H69" s="6" t="n">
        <v>0.2</v>
      </c>
      <c r="I69" s="6" t="n"/>
      <c r="J69" s="6" t="n"/>
      <c r="K69" s="6" t="n"/>
      <c r="L69" s="6" t="n"/>
      <c r="M69" s="7">
        <f>F69*Settings!$B$4+G69*Settings!$B$5+H69*Settings!$B$6+I69*Settings!$B$7+J69*Settings!$B$8+K69*Settings!$B$9+L69*Settings!$B$10</f>
        <v/>
      </c>
      <c r="N69" s="8">
        <f>M69-INDEX(Settings!$G$4:$G$9,MATCH($E69,Settings!$F$4:$F$9,0))</f>
        <v/>
      </c>
      <c r="O69" s="7">
        <f>N69*INDEX(Settings!$H$4:$H$9,MATCH($E69,Settings!$F$4:$F$9,0))</f>
        <v/>
      </c>
      <c r="P69" s="3" t="inlineStr">
        <is>
          <t>HIGH</t>
        </is>
      </c>
      <c r="Q69" s="5" t="inlineStr"/>
    </row>
    <row r="70">
      <c r="A70" s="3" t="n">
        <v>277</v>
      </c>
      <c r="B70" s="9" t="inlineStr">
        <is>
          <t>RB68</t>
        </is>
      </c>
      <c r="C70" s="5" t="inlineStr">
        <is>
          <t>Jaylen Wright</t>
        </is>
      </c>
      <c r="D70" s="3" t="inlineStr">
        <is>
          <t>MIA</t>
        </is>
      </c>
      <c r="E70" s="9" t="inlineStr">
        <is>
          <t>RB</t>
        </is>
      </c>
      <c r="F70" s="6" t="n"/>
      <c r="G70" s="6" t="n">
        <v>1.6</v>
      </c>
      <c r="H70" s="6" t="n">
        <v>0.1</v>
      </c>
      <c r="I70" s="6" t="n"/>
      <c r="J70" s="6" t="n"/>
      <c r="K70" s="6" t="n"/>
      <c r="L70" s="6" t="n"/>
      <c r="M70" s="7">
        <f>F70*Settings!$B$4+G70*Settings!$B$5+H70*Settings!$B$6+I70*Settings!$B$7+J70*Settings!$B$8+K70*Settings!$B$9+L70*Settings!$B$10</f>
        <v/>
      </c>
      <c r="N70" s="8">
        <f>M70-INDEX(Settings!$G$4:$G$9,MATCH($E70,Settings!$F$4:$F$9,0))</f>
        <v/>
      </c>
      <c r="O70" s="7">
        <f>N70*INDEX(Settings!$H$4:$H$9,MATCH($E70,Settings!$F$4:$F$9,0))</f>
        <v/>
      </c>
      <c r="P70" s="3" t="inlineStr">
        <is>
          <t>HIGH</t>
        </is>
      </c>
      <c r="Q70" s="5" t="inlineStr"/>
    </row>
    <row r="71">
      <c r="A71" s="3" t="n">
        <v>278</v>
      </c>
      <c r="B71" s="9" t="inlineStr">
        <is>
          <t>RB69</t>
        </is>
      </c>
      <c r="C71" s="5" t="inlineStr">
        <is>
          <t>Emmett Johnson</t>
        </is>
      </c>
      <c r="D71" s="3" t="inlineStr">
        <is>
          <t>KC</t>
        </is>
      </c>
      <c r="E71" s="9" t="inlineStr">
        <is>
          <t>RB</t>
        </is>
      </c>
      <c r="F71" s="6" t="n"/>
      <c r="G71" s="6" t="n">
        <v>1.3</v>
      </c>
      <c r="H71" s="6" t="n">
        <v>0.2</v>
      </c>
      <c r="I71" s="6" t="n"/>
      <c r="J71" s="6" t="n"/>
      <c r="K71" s="6" t="n"/>
      <c r="L71" s="6" t="n"/>
      <c r="M71" s="7">
        <f>F71*Settings!$B$4+G71*Settings!$B$5+H71*Settings!$B$6+I71*Settings!$B$7+J71*Settings!$B$8+K71*Settings!$B$9+L71*Settings!$B$10</f>
        <v/>
      </c>
      <c r="N71" s="8">
        <f>M71-INDEX(Settings!$G$4:$G$9,MATCH($E71,Settings!$F$4:$F$9,0))</f>
        <v/>
      </c>
      <c r="O71" s="7">
        <f>N71*INDEX(Settings!$H$4:$H$9,MATCH($E71,Settings!$F$4:$F$9,0))</f>
        <v/>
      </c>
      <c r="P71" s="3" t="inlineStr">
        <is>
          <t>HIGH</t>
        </is>
      </c>
      <c r="Q71" s="5" t="inlineStr">
        <is>
          <t>Rookie</t>
        </is>
      </c>
    </row>
    <row r="72">
      <c r="A72" s="3" t="n">
        <v>279</v>
      </c>
      <c r="B72" s="9" t="inlineStr">
        <is>
          <t>RB70</t>
        </is>
      </c>
      <c r="C72" s="5" t="inlineStr">
        <is>
          <t>Emari Demercado</t>
        </is>
      </c>
      <c r="D72" s="3" t="inlineStr">
        <is>
          <t>KC</t>
        </is>
      </c>
      <c r="E72" s="9" t="inlineStr">
        <is>
          <t>RB</t>
        </is>
      </c>
      <c r="F72" s="6" t="n"/>
      <c r="G72" s="6" t="n">
        <v>1.2</v>
      </c>
      <c r="H72" s="6" t="n">
        <v>0.3</v>
      </c>
      <c r="I72" s="6" t="n"/>
      <c r="J72" s="6" t="n"/>
      <c r="K72" s="6" t="n"/>
      <c r="L72" s="6" t="n"/>
      <c r="M72" s="7">
        <f>F72*Settings!$B$4+G72*Settings!$B$5+H72*Settings!$B$6+I72*Settings!$B$7+J72*Settings!$B$8+K72*Settings!$B$9+L72*Settings!$B$10</f>
        <v/>
      </c>
      <c r="N72" s="8">
        <f>M72-INDEX(Settings!$G$4:$G$9,MATCH($E72,Settings!$F$4:$F$9,0))</f>
        <v/>
      </c>
      <c r="O72" s="7">
        <f>N72*INDEX(Settings!$H$4:$H$9,MATCH($E72,Settings!$F$4:$F$9,0))</f>
        <v/>
      </c>
      <c r="P72" s="3" t="inlineStr">
        <is>
          <t>HIGH</t>
        </is>
      </c>
      <c r="Q72" s="5" t="inlineStr"/>
    </row>
  </sheetData>
  <autoFilter ref="A2:Q72"/>
  <mergeCells count="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5" customWidth="1" min="4" max="4"/>
    <col width="5" customWidth="1" min="5" max="5"/>
    <col width="8" customWidth="1" min="6" max="6"/>
    <col width="8" customWidth="1" min="7" max="7"/>
    <col width="8" customWidth="1" min="8" max="8"/>
    <col width="6" customWidth="1" min="9" max="9"/>
    <col width="6" customWidth="1" min="10" max="10"/>
    <col width="7" customWidth="1" min="11" max="11"/>
    <col width="6" customWidth="1" min="12" max="12"/>
    <col width="9" customWidth="1" min="13" max="13"/>
    <col width="8" customWidth="1" min="14" max="14"/>
    <col width="9" customWidth="1" min="15" max="15"/>
    <col width="8" customWidth="1" min="16" max="16"/>
    <col width="62" customWidth="1" min="17" max="17"/>
  </cols>
  <sheetData>
    <row r="1" ht="20" customHeight="1">
      <c r="A1" s="1" t="inlineStr">
        <is>
          <t>WR — ranked by projected points</t>
        </is>
      </c>
    </row>
    <row r="2" ht="26" customHeight="1">
      <c r="A2" s="2" t="inlineStr">
        <is>
          <t>Rank</t>
        </is>
      </c>
      <c r="B2" s="2" t="inlineStr">
        <is>
          <t>Pos</t>
        </is>
      </c>
      <c r="C2" s="2" t="inlineStr">
        <is>
          <t>Player</t>
        </is>
      </c>
      <c r="D2" s="2" t="inlineStr">
        <is>
          <t>Tm</t>
        </is>
      </c>
      <c r="E2" s="2" t="inlineStr">
        <is>
          <t>P</t>
        </is>
      </c>
      <c r="F2" s="2" t="inlineStr">
        <is>
          <t>PassTD</t>
        </is>
      </c>
      <c r="G2" s="2" t="inlineStr">
        <is>
          <t>RushTD</t>
        </is>
      </c>
      <c r="H2" s="2" t="inlineStr">
        <is>
          <t>RecTD</t>
        </is>
      </c>
      <c r="I2" s="2" t="inlineStr">
        <is>
          <t>FG</t>
        </is>
      </c>
      <c r="J2" s="2" t="inlineStr">
        <is>
          <t>PAT</t>
        </is>
      </c>
      <c r="K2" s="2" t="inlineStr">
        <is>
          <t>DefTD</t>
        </is>
      </c>
      <c r="L2" s="2" t="inlineStr">
        <is>
          <t>Saf</t>
        </is>
      </c>
      <c r="M2" s="2" t="inlineStr">
        <is>
          <t>Points</t>
        </is>
      </c>
      <c r="N2" s="2" t="inlineStr">
        <is>
          <t>VOR</t>
        </is>
      </c>
      <c r="O2" s="2" t="inlineStr">
        <is>
          <t>Adj VOR</t>
        </is>
      </c>
      <c r="P2" s="2" t="inlineStr">
        <is>
          <t>Conf</t>
        </is>
      </c>
      <c r="Q2" s="2" t="inlineStr">
        <is>
          <t>Notes</t>
        </is>
      </c>
    </row>
    <row r="3">
      <c r="A3" s="3" t="n">
        <v>9</v>
      </c>
      <c r="B3" s="10" t="inlineStr">
        <is>
          <t>WR1</t>
        </is>
      </c>
      <c r="C3" s="5" t="inlineStr">
        <is>
          <t>Ja'Marr Chase</t>
        </is>
      </c>
      <c r="D3" s="3" t="inlineStr">
        <is>
          <t>CIN</t>
        </is>
      </c>
      <c r="E3" s="10" t="inlineStr">
        <is>
          <t>WR</t>
        </is>
      </c>
      <c r="F3" s="6" t="n"/>
      <c r="G3" s="6" t="n">
        <v>0.1</v>
      </c>
      <c r="H3" s="6" t="n">
        <v>10.9</v>
      </c>
      <c r="I3" s="6" t="n"/>
      <c r="J3" s="6" t="n"/>
      <c r="K3" s="6" t="n"/>
      <c r="L3" s="6" t="n"/>
      <c r="M3" s="7">
        <f>F3*Settings!$B$4+G3*Settings!$B$5+H3*Settings!$B$6+I3*Settings!$B$7+J3*Settings!$B$8+K3*Settings!$B$9+L3*Settings!$B$10</f>
        <v/>
      </c>
      <c r="N3" s="8">
        <f>M3-INDEX(Settings!$G$4:$G$9,MATCH($E3,Settings!$F$4:$F$9,0))</f>
        <v/>
      </c>
      <c r="O3" s="7">
        <f>N3*INDEX(Settings!$H$4:$H$9,MATCH($E3,Settings!$F$4:$F$9,0))</f>
        <v/>
      </c>
      <c r="P3" s="3" t="inlineStr">
        <is>
          <t>HIGH</t>
        </is>
      </c>
      <c r="Q3" s="5" t="inlineStr"/>
    </row>
    <row r="4">
      <c r="A4" s="3" t="n">
        <v>13</v>
      </c>
      <c r="B4" s="10" t="inlineStr">
        <is>
          <t>WR2</t>
        </is>
      </c>
      <c r="C4" s="5" t="inlineStr">
        <is>
          <t>Davante Adams</t>
        </is>
      </c>
      <c r="D4" s="3" t="inlineStr">
        <is>
          <t>LAR</t>
        </is>
      </c>
      <c r="E4" s="10" t="inlineStr">
        <is>
          <t>WR</t>
        </is>
      </c>
      <c r="F4" s="6" t="n"/>
      <c r="G4" s="6" t="n"/>
      <c r="H4" s="6" t="n">
        <v>10.3</v>
      </c>
      <c r="I4" s="6" t="n"/>
      <c r="J4" s="6" t="n"/>
      <c r="K4" s="6" t="n"/>
      <c r="L4" s="6" t="n"/>
      <c r="M4" s="7">
        <f>F4*Settings!$B$4+G4*Settings!$B$5+H4*Settings!$B$6+I4*Settings!$B$7+J4*Settings!$B$8+K4*Settings!$B$9+L4*Settings!$B$10</f>
        <v/>
      </c>
      <c r="N4" s="8">
        <f>M4-INDEX(Settings!$G$4:$G$9,MATCH($E4,Settings!$F$4:$F$9,0))</f>
        <v/>
      </c>
      <c r="O4" s="7">
        <f>N4*INDEX(Settings!$H$4:$H$9,MATCH($E4,Settings!$F$4:$F$9,0))</f>
        <v/>
      </c>
      <c r="P4" s="3" t="inlineStr">
        <is>
          <t>HIGH</t>
        </is>
      </c>
      <c r="Q4" s="5" t="inlineStr"/>
    </row>
    <row r="5">
      <c r="A5" s="3" t="n">
        <v>14</v>
      </c>
      <c r="B5" s="10" t="inlineStr">
        <is>
          <t>WR3</t>
        </is>
      </c>
      <c r="C5" s="5" t="inlineStr">
        <is>
          <t>Amon-Ra St. Brown</t>
        </is>
      </c>
      <c r="D5" s="3" t="inlineStr">
        <is>
          <t>DET</t>
        </is>
      </c>
      <c r="E5" s="10" t="inlineStr">
        <is>
          <t>WR</t>
        </is>
      </c>
      <c r="F5" s="6" t="n"/>
      <c r="G5" s="6" t="n">
        <v>0.1</v>
      </c>
      <c r="H5" s="6" t="n">
        <v>10.2</v>
      </c>
      <c r="I5" s="6" t="n"/>
      <c r="J5" s="6" t="n"/>
      <c r="K5" s="6" t="n"/>
      <c r="L5" s="6" t="n"/>
      <c r="M5" s="7">
        <f>F5*Settings!$B$4+G5*Settings!$B$5+H5*Settings!$B$6+I5*Settings!$B$7+J5*Settings!$B$8+K5*Settings!$B$9+L5*Settings!$B$10</f>
        <v/>
      </c>
      <c r="N5" s="8">
        <f>M5-INDEX(Settings!$G$4:$G$9,MATCH($E5,Settings!$F$4:$F$9,0))</f>
        <v/>
      </c>
      <c r="O5" s="7">
        <f>N5*INDEX(Settings!$H$4:$H$9,MATCH($E5,Settings!$F$4:$F$9,0))</f>
        <v/>
      </c>
      <c r="P5" s="3" t="inlineStr">
        <is>
          <t>HIGH</t>
        </is>
      </c>
      <c r="Q5" s="5" t="inlineStr"/>
    </row>
    <row r="6">
      <c r="A6" s="3" t="n">
        <v>15</v>
      </c>
      <c r="B6" s="10" t="inlineStr">
        <is>
          <t>WR4</t>
        </is>
      </c>
      <c r="C6" s="5" t="inlineStr">
        <is>
          <t>Puka Nacua</t>
        </is>
      </c>
      <c r="D6" s="3" t="inlineStr">
        <is>
          <t>LAR</t>
        </is>
      </c>
      <c r="E6" s="10" t="inlineStr">
        <is>
          <t>WR</t>
        </is>
      </c>
      <c r="F6" s="6" t="n"/>
      <c r="G6" s="6" t="n">
        <v>0.6</v>
      </c>
      <c r="H6" s="6" t="n">
        <v>9.300000000000001</v>
      </c>
      <c r="I6" s="6" t="n"/>
      <c r="J6" s="6" t="n"/>
      <c r="K6" s="6" t="n"/>
      <c r="L6" s="6" t="n"/>
      <c r="M6" s="7">
        <f>F6*Settings!$B$4+G6*Settings!$B$5+H6*Settings!$B$6+I6*Settings!$B$7+J6*Settings!$B$8+K6*Settings!$B$9+L6*Settings!$B$10</f>
        <v/>
      </c>
      <c r="N6" s="8">
        <f>M6-INDEX(Settings!$G$4:$G$9,MATCH($E6,Settings!$F$4:$F$9,0))</f>
        <v/>
      </c>
      <c r="O6" s="7">
        <f>N6*INDEX(Settings!$H$4:$H$9,MATCH($E6,Settings!$F$4:$F$9,0))</f>
        <v/>
      </c>
      <c r="P6" s="3" t="inlineStr">
        <is>
          <t>HIGH</t>
        </is>
      </c>
      <c r="Q6" s="5" t="inlineStr"/>
    </row>
    <row r="7">
      <c r="A7" s="3" t="n">
        <v>26</v>
      </c>
      <c r="B7" s="10" t="inlineStr">
        <is>
          <t>WR5</t>
        </is>
      </c>
      <c r="C7" s="5" t="inlineStr">
        <is>
          <t>CeeDee Lamb</t>
        </is>
      </c>
      <c r="D7" s="3" t="inlineStr">
        <is>
          <t>DAL</t>
        </is>
      </c>
      <c r="E7" s="10" t="inlineStr">
        <is>
          <t>WR</t>
        </is>
      </c>
      <c r="F7" s="6" t="n"/>
      <c r="G7" s="6" t="n">
        <v>0.1</v>
      </c>
      <c r="H7" s="6" t="n">
        <v>8.300000000000001</v>
      </c>
      <c r="I7" s="6" t="n"/>
      <c r="J7" s="6" t="n"/>
      <c r="K7" s="6" t="n"/>
      <c r="L7" s="6" t="n"/>
      <c r="M7" s="7">
        <f>F7*Settings!$B$4+G7*Settings!$B$5+H7*Settings!$B$6+I7*Settings!$B$7+J7*Settings!$B$8+K7*Settings!$B$9+L7*Settings!$B$10</f>
        <v/>
      </c>
      <c r="N7" s="8">
        <f>M7-INDEX(Settings!$G$4:$G$9,MATCH($E7,Settings!$F$4:$F$9,0))</f>
        <v/>
      </c>
      <c r="O7" s="7">
        <f>N7*INDEX(Settings!$H$4:$H$9,MATCH($E7,Settings!$F$4:$F$9,0))</f>
        <v/>
      </c>
      <c r="P7" s="3" t="inlineStr">
        <is>
          <t>HIGH</t>
        </is>
      </c>
      <c r="Q7" s="5" t="inlineStr"/>
    </row>
    <row r="8">
      <c r="A8" s="3" t="n">
        <v>28</v>
      </c>
      <c r="B8" s="10" t="inlineStr">
        <is>
          <t>WR6</t>
        </is>
      </c>
      <c r="C8" s="5" t="inlineStr">
        <is>
          <t>Jaxon Smith-Njigba</t>
        </is>
      </c>
      <c r="D8" s="3" t="inlineStr">
        <is>
          <t>SEA</t>
        </is>
      </c>
      <c r="E8" s="10" t="inlineStr">
        <is>
          <t>WR</t>
        </is>
      </c>
      <c r="F8" s="6" t="n"/>
      <c r="G8" s="6" t="n">
        <v>0.1</v>
      </c>
      <c r="H8" s="6" t="n">
        <v>8.199999999999999</v>
      </c>
      <c r="I8" s="6" t="n"/>
      <c r="J8" s="6" t="n"/>
      <c r="K8" s="6" t="n"/>
      <c r="L8" s="6" t="n"/>
      <c r="M8" s="7">
        <f>F8*Settings!$B$4+G8*Settings!$B$5+H8*Settings!$B$6+I8*Settings!$B$7+J8*Settings!$B$8+K8*Settings!$B$9+L8*Settings!$B$10</f>
        <v/>
      </c>
      <c r="N8" s="8">
        <f>M8-INDEX(Settings!$G$4:$G$9,MATCH($E8,Settings!$F$4:$F$9,0))</f>
        <v/>
      </c>
      <c r="O8" s="7">
        <f>N8*INDEX(Settings!$H$4:$H$9,MATCH($E8,Settings!$F$4:$F$9,0))</f>
        <v/>
      </c>
      <c r="P8" s="3" t="inlineStr">
        <is>
          <t>HIGH</t>
        </is>
      </c>
      <c r="Q8" s="5" t="inlineStr"/>
    </row>
    <row r="9">
      <c r="A9" s="3" t="n">
        <v>30</v>
      </c>
      <c r="B9" s="10" t="inlineStr">
        <is>
          <t>WR7</t>
        </is>
      </c>
      <c r="C9" s="5" t="inlineStr">
        <is>
          <t>Rashee Rice</t>
        </is>
      </c>
      <c r="D9" s="3" t="inlineStr">
        <is>
          <t>KC</t>
        </is>
      </c>
      <c r="E9" s="10" t="inlineStr">
        <is>
          <t>WR</t>
        </is>
      </c>
      <c r="F9" s="6" t="n"/>
      <c r="G9" s="6" t="n">
        <v>0.3</v>
      </c>
      <c r="H9" s="6" t="n">
        <v>7.9</v>
      </c>
      <c r="I9" s="6" t="n"/>
      <c r="J9" s="6" t="n"/>
      <c r="K9" s="6" t="n"/>
      <c r="L9" s="6" t="n"/>
      <c r="M9" s="7">
        <f>F9*Settings!$B$4+G9*Settings!$B$5+H9*Settings!$B$6+I9*Settings!$B$7+J9*Settings!$B$8+K9*Settings!$B$9+L9*Settings!$B$10</f>
        <v/>
      </c>
      <c r="N9" s="8">
        <f>M9-INDEX(Settings!$G$4:$G$9,MATCH($E9,Settings!$F$4:$F$9,0))</f>
        <v/>
      </c>
      <c r="O9" s="7">
        <f>N9*INDEX(Settings!$H$4:$H$9,MATCH($E9,Settings!$F$4:$F$9,0))</f>
        <v/>
      </c>
      <c r="P9" s="3" t="inlineStr">
        <is>
          <t>HIGH</t>
        </is>
      </c>
      <c r="Q9" s="5" t="inlineStr"/>
    </row>
    <row r="10">
      <c r="A10" s="3" t="n">
        <v>31</v>
      </c>
      <c r="B10" s="10" t="inlineStr">
        <is>
          <t>WR8</t>
        </is>
      </c>
      <c r="C10" s="5" t="inlineStr">
        <is>
          <t>Tee Higgins</t>
        </is>
      </c>
      <c r="D10" s="3" t="inlineStr">
        <is>
          <t>CIN</t>
        </is>
      </c>
      <c r="E10" s="10" t="inlineStr">
        <is>
          <t>WR</t>
        </is>
      </c>
      <c r="F10" s="6" t="n"/>
      <c r="G10" s="6" t="n"/>
      <c r="H10" s="6" t="n">
        <v>8.199999999999999</v>
      </c>
      <c r="I10" s="6" t="n"/>
      <c r="J10" s="6" t="n"/>
      <c r="K10" s="6" t="n"/>
      <c r="L10" s="6" t="n"/>
      <c r="M10" s="7">
        <f>F10*Settings!$B$4+G10*Settings!$B$5+H10*Settings!$B$6+I10*Settings!$B$7+J10*Settings!$B$8+K10*Settings!$B$9+L10*Settings!$B$10</f>
        <v/>
      </c>
      <c r="N10" s="8">
        <f>M10-INDEX(Settings!$G$4:$G$9,MATCH($E10,Settings!$F$4:$F$9,0))</f>
        <v/>
      </c>
      <c r="O10" s="7">
        <f>N10*INDEX(Settings!$H$4:$H$9,MATCH($E10,Settings!$F$4:$F$9,0))</f>
        <v/>
      </c>
      <c r="P10" s="3" t="inlineStr">
        <is>
          <t>HIGH</t>
        </is>
      </c>
      <c r="Q10" s="5" t="inlineStr"/>
    </row>
    <row r="11">
      <c r="A11" s="3" t="n">
        <v>36</v>
      </c>
      <c r="B11" s="10" t="inlineStr">
        <is>
          <t>WR9</t>
        </is>
      </c>
      <c r="C11" s="5" t="inlineStr">
        <is>
          <t>Rome Odunze</t>
        </is>
      </c>
      <c r="D11" s="3" t="inlineStr">
        <is>
          <t>CHI</t>
        </is>
      </c>
      <c r="E11" s="10" t="inlineStr">
        <is>
          <t>WR</t>
        </is>
      </c>
      <c r="F11" s="6" t="n"/>
      <c r="G11" s="6" t="n"/>
      <c r="H11" s="6" t="n">
        <v>7.7</v>
      </c>
      <c r="I11" s="6" t="n"/>
      <c r="J11" s="6" t="n"/>
      <c r="K11" s="6" t="n"/>
      <c r="L11" s="6" t="n"/>
      <c r="M11" s="7">
        <f>F11*Settings!$B$4+G11*Settings!$B$5+H11*Settings!$B$6+I11*Settings!$B$7+J11*Settings!$B$8+K11*Settings!$B$9+L11*Settings!$B$10</f>
        <v/>
      </c>
      <c r="N11" s="8">
        <f>M11-INDEX(Settings!$G$4:$G$9,MATCH($E11,Settings!$F$4:$F$9,0))</f>
        <v/>
      </c>
      <c r="O11" s="7">
        <f>N11*INDEX(Settings!$H$4:$H$9,MATCH($E11,Settings!$F$4:$F$9,0))</f>
        <v/>
      </c>
      <c r="P11" s="3" t="inlineStr">
        <is>
          <t>HIGH</t>
        </is>
      </c>
      <c r="Q11" s="5" t="inlineStr"/>
    </row>
    <row r="12">
      <c r="A12" s="3" t="n">
        <v>39</v>
      </c>
      <c r="B12" s="10" t="inlineStr">
        <is>
          <t>WR10</t>
        </is>
      </c>
      <c r="C12" s="5" t="inlineStr">
        <is>
          <t>George Pickens</t>
        </is>
      </c>
      <c r="D12" s="3" t="inlineStr">
        <is>
          <t>DAL</t>
        </is>
      </c>
      <c r="E12" s="10" t="inlineStr">
        <is>
          <t>WR</t>
        </is>
      </c>
      <c r="F12" s="6" t="n"/>
      <c r="G12" s="6" t="n"/>
      <c r="H12" s="6" t="n">
        <v>7.6</v>
      </c>
      <c r="I12" s="6" t="n"/>
      <c r="J12" s="6" t="n"/>
      <c r="K12" s="6" t="n"/>
      <c r="L12" s="6" t="n"/>
      <c r="M12" s="7">
        <f>F12*Settings!$B$4+G12*Settings!$B$5+H12*Settings!$B$6+I12*Settings!$B$7+J12*Settings!$B$8+K12*Settings!$B$9+L12*Settings!$B$10</f>
        <v/>
      </c>
      <c r="N12" s="8">
        <f>M12-INDEX(Settings!$G$4:$G$9,MATCH($E12,Settings!$F$4:$F$9,0))</f>
        <v/>
      </c>
      <c r="O12" s="7">
        <f>N12*INDEX(Settings!$H$4:$H$9,MATCH($E12,Settings!$F$4:$F$9,0))</f>
        <v/>
      </c>
      <c r="P12" s="3" t="inlineStr">
        <is>
          <t>HIGH</t>
        </is>
      </c>
      <c r="Q12" s="5" t="inlineStr"/>
    </row>
    <row r="13">
      <c r="A13" s="3" t="n">
        <v>47</v>
      </c>
      <c r="B13" s="10" t="inlineStr">
        <is>
          <t>WR11</t>
        </is>
      </c>
      <c r="C13" s="5" t="inlineStr">
        <is>
          <t>Malik Nabers</t>
        </is>
      </c>
      <c r="D13" s="3" t="inlineStr">
        <is>
          <t>NYG</t>
        </is>
      </c>
      <c r="E13" s="10" t="inlineStr">
        <is>
          <t>WR</t>
        </is>
      </c>
      <c r="F13" s="6" t="n"/>
      <c r="G13" s="6" t="n">
        <v>0.1</v>
      </c>
      <c r="H13" s="6" t="n">
        <v>7.2</v>
      </c>
      <c r="I13" s="6" t="n"/>
      <c r="J13" s="6" t="n"/>
      <c r="K13" s="6" t="n"/>
      <c r="L13" s="6" t="n"/>
      <c r="M13" s="7">
        <f>F13*Settings!$B$4+G13*Settings!$B$5+H13*Settings!$B$6+I13*Settings!$B$7+J13*Settings!$B$8+K13*Settings!$B$9+L13*Settings!$B$10</f>
        <v/>
      </c>
      <c r="N13" s="8">
        <f>M13-INDEX(Settings!$G$4:$G$9,MATCH($E13,Settings!$F$4:$F$9,0))</f>
        <v/>
      </c>
      <c r="O13" s="7">
        <f>N13*INDEX(Settings!$H$4:$H$9,MATCH($E13,Settings!$F$4:$F$9,0))</f>
        <v/>
      </c>
      <c r="P13" s="3" t="inlineStr">
        <is>
          <t>HIGH</t>
        </is>
      </c>
      <c r="Q13" s="5" t="inlineStr"/>
    </row>
    <row r="14">
      <c r="A14" s="3" t="n">
        <v>48</v>
      </c>
      <c r="B14" s="10" t="inlineStr">
        <is>
          <t>WR12</t>
        </is>
      </c>
      <c r="C14" s="5" t="inlineStr">
        <is>
          <t>Emeka Egbuka</t>
        </is>
      </c>
      <c r="D14" s="3" t="inlineStr">
        <is>
          <t>TB</t>
        </is>
      </c>
      <c r="E14" s="10" t="inlineStr">
        <is>
          <t>WR</t>
        </is>
      </c>
      <c r="F14" s="6" t="n"/>
      <c r="G14" s="6" t="n">
        <v>0.1</v>
      </c>
      <c r="H14" s="6" t="n">
        <v>7.2</v>
      </c>
      <c r="I14" s="6" t="n"/>
      <c r="J14" s="6" t="n"/>
      <c r="K14" s="6" t="n"/>
      <c r="L14" s="6" t="n"/>
      <c r="M14" s="7">
        <f>F14*Settings!$B$4+G14*Settings!$B$5+H14*Settings!$B$6+I14*Settings!$B$7+J14*Settings!$B$8+K14*Settings!$B$9+L14*Settings!$B$10</f>
        <v/>
      </c>
      <c r="N14" s="8">
        <f>M14-INDEX(Settings!$G$4:$G$9,MATCH($E14,Settings!$F$4:$F$9,0))</f>
        <v/>
      </c>
      <c r="O14" s="7">
        <f>N14*INDEX(Settings!$H$4:$H$9,MATCH($E14,Settings!$F$4:$F$9,0))</f>
        <v/>
      </c>
      <c r="P14" s="3" t="inlineStr">
        <is>
          <t>HIGH</t>
        </is>
      </c>
      <c r="Q14" s="5" t="inlineStr"/>
    </row>
    <row r="15">
      <c r="A15" s="3" t="n">
        <v>49</v>
      </c>
      <c r="B15" s="10" t="inlineStr">
        <is>
          <t>WR13</t>
        </is>
      </c>
      <c r="C15" s="5" t="inlineStr">
        <is>
          <t>Courtland Sutton</t>
        </is>
      </c>
      <c r="D15" s="3" t="inlineStr">
        <is>
          <t>DEN</t>
        </is>
      </c>
      <c r="E15" s="10" t="inlineStr">
        <is>
          <t>WR</t>
        </is>
      </c>
      <c r="F15" s="6" t="n"/>
      <c r="G15" s="6" t="n"/>
      <c r="H15" s="6" t="n">
        <v>7.3</v>
      </c>
      <c r="I15" s="6" t="n"/>
      <c r="J15" s="6" t="n"/>
      <c r="K15" s="6" t="n"/>
      <c r="L15" s="6" t="n"/>
      <c r="M15" s="7">
        <f>F15*Settings!$B$4+G15*Settings!$B$5+H15*Settings!$B$6+I15*Settings!$B$7+J15*Settings!$B$8+K15*Settings!$B$9+L15*Settings!$B$10</f>
        <v/>
      </c>
      <c r="N15" s="8">
        <f>M15-INDEX(Settings!$G$4:$G$9,MATCH($E15,Settings!$F$4:$F$9,0))</f>
        <v/>
      </c>
      <c r="O15" s="7">
        <f>N15*INDEX(Settings!$H$4:$H$9,MATCH($E15,Settings!$F$4:$F$9,0))</f>
        <v/>
      </c>
      <c r="P15" s="3" t="inlineStr">
        <is>
          <t>HIGH</t>
        </is>
      </c>
      <c r="Q15" s="5" t="inlineStr"/>
    </row>
    <row r="16">
      <c r="A16" s="3" t="n">
        <v>50</v>
      </c>
      <c r="B16" s="10" t="inlineStr">
        <is>
          <t>WR14</t>
        </is>
      </c>
      <c r="C16" s="5" t="inlineStr">
        <is>
          <t>Justin Jefferson</t>
        </is>
      </c>
      <c r="D16" s="3" t="inlineStr">
        <is>
          <t>MIN</t>
        </is>
      </c>
      <c r="E16" s="10" t="inlineStr">
        <is>
          <t>WR</t>
        </is>
      </c>
      <c r="F16" s="6" t="n"/>
      <c r="G16" s="6" t="n">
        <v>0.1</v>
      </c>
      <c r="H16" s="6" t="n">
        <v>7.2</v>
      </c>
      <c r="I16" s="6" t="n"/>
      <c r="J16" s="6" t="n"/>
      <c r="K16" s="6" t="n"/>
      <c r="L16" s="6" t="n"/>
      <c r="M16" s="7">
        <f>F16*Settings!$B$4+G16*Settings!$B$5+H16*Settings!$B$6+I16*Settings!$B$7+J16*Settings!$B$8+K16*Settings!$B$9+L16*Settings!$B$10</f>
        <v/>
      </c>
      <c r="N16" s="8">
        <f>M16-INDEX(Settings!$G$4:$G$9,MATCH($E16,Settings!$F$4:$F$9,0))</f>
        <v/>
      </c>
      <c r="O16" s="7">
        <f>N16*INDEX(Settings!$H$4:$H$9,MATCH($E16,Settings!$F$4:$F$9,0))</f>
        <v/>
      </c>
      <c r="P16" s="3" t="inlineStr">
        <is>
          <t>HIGH</t>
        </is>
      </c>
      <c r="Q16" s="5" t="inlineStr"/>
    </row>
    <row r="17">
      <c r="A17" s="3" t="n">
        <v>55</v>
      </c>
      <c r="B17" s="10" t="inlineStr">
        <is>
          <t>WR15</t>
        </is>
      </c>
      <c r="C17" s="5" t="inlineStr">
        <is>
          <t>Drake London</t>
        </is>
      </c>
      <c r="D17" s="3" t="inlineStr">
        <is>
          <t>ATL</t>
        </is>
      </c>
      <c r="E17" s="10" t="inlineStr">
        <is>
          <t>WR</t>
        </is>
      </c>
      <c r="F17" s="6" t="n"/>
      <c r="G17" s="6" t="n"/>
      <c r="H17" s="6" t="n">
        <v>7.2</v>
      </c>
      <c r="I17" s="6" t="n"/>
      <c r="J17" s="6" t="n"/>
      <c r="K17" s="6" t="n"/>
      <c r="L17" s="6" t="n"/>
      <c r="M17" s="7">
        <f>F17*Settings!$B$4+G17*Settings!$B$5+H17*Settings!$B$6+I17*Settings!$B$7+J17*Settings!$B$8+K17*Settings!$B$9+L17*Settings!$B$10</f>
        <v/>
      </c>
      <c r="N17" s="8">
        <f>M17-INDEX(Settings!$G$4:$G$9,MATCH($E17,Settings!$F$4:$F$9,0))</f>
        <v/>
      </c>
      <c r="O17" s="7">
        <f>N17*INDEX(Settings!$H$4:$H$9,MATCH($E17,Settings!$F$4:$F$9,0))</f>
        <v/>
      </c>
      <c r="P17" s="3" t="inlineStr">
        <is>
          <t>HIGH</t>
        </is>
      </c>
      <c r="Q17" s="5" t="inlineStr"/>
    </row>
    <row r="18">
      <c r="A18" s="3" t="n">
        <v>57</v>
      </c>
      <c r="B18" s="10" t="inlineStr">
        <is>
          <t>WR16</t>
        </is>
      </c>
      <c r="C18" s="5" t="inlineStr">
        <is>
          <t>Christian Watson</t>
        </is>
      </c>
      <c r="D18" s="3" t="inlineStr">
        <is>
          <t>GB</t>
        </is>
      </c>
      <c r="E18" s="10" t="inlineStr">
        <is>
          <t>WR</t>
        </is>
      </c>
      <c r="F18" s="6" t="n"/>
      <c r="G18" s="6" t="n">
        <v>0.1</v>
      </c>
      <c r="H18" s="6" t="n">
        <v>7</v>
      </c>
      <c r="I18" s="6" t="n"/>
      <c r="J18" s="6" t="n"/>
      <c r="K18" s="6" t="n"/>
      <c r="L18" s="6" t="n"/>
      <c r="M18" s="7">
        <f>F18*Settings!$B$4+G18*Settings!$B$5+H18*Settings!$B$6+I18*Settings!$B$7+J18*Settings!$B$8+K18*Settings!$B$9+L18*Settings!$B$10</f>
        <v/>
      </c>
      <c r="N18" s="8">
        <f>M18-INDEX(Settings!$G$4:$G$9,MATCH($E18,Settings!$F$4:$F$9,0))</f>
        <v/>
      </c>
      <c r="O18" s="7">
        <f>N18*INDEX(Settings!$H$4:$H$9,MATCH($E18,Settings!$F$4:$F$9,0))</f>
        <v/>
      </c>
      <c r="P18" s="3" t="inlineStr">
        <is>
          <t>HIGH</t>
        </is>
      </c>
      <c r="Q18" s="5" t="inlineStr"/>
    </row>
    <row r="19">
      <c r="A19" s="3" t="n">
        <v>68</v>
      </c>
      <c r="B19" s="10" t="inlineStr">
        <is>
          <t>WR17</t>
        </is>
      </c>
      <c r="C19" s="5" t="inlineStr">
        <is>
          <t>A.J. Brown</t>
        </is>
      </c>
      <c r="D19" s="3" t="inlineStr">
        <is>
          <t>NE</t>
        </is>
      </c>
      <c r="E19" s="10" t="inlineStr">
        <is>
          <t>WR</t>
        </is>
      </c>
      <c r="F19" s="6" t="n"/>
      <c r="G19" s="6" t="n"/>
      <c r="H19" s="6" t="n">
        <v>7</v>
      </c>
      <c r="I19" s="6" t="n"/>
      <c r="J19" s="6" t="n"/>
      <c r="K19" s="6" t="n"/>
      <c r="L19" s="6" t="n"/>
      <c r="M19" s="7">
        <f>F19*Settings!$B$4+G19*Settings!$B$5+H19*Settings!$B$6+I19*Settings!$B$7+J19*Settings!$B$8+K19*Settings!$B$9+L19*Settings!$B$10</f>
        <v/>
      </c>
      <c r="N19" s="8">
        <f>M19-INDEX(Settings!$G$4:$G$9,MATCH($E19,Settings!$F$4:$F$9,0))</f>
        <v/>
      </c>
      <c r="O19" s="7">
        <f>N19*INDEX(Settings!$H$4:$H$9,MATCH($E19,Settings!$F$4:$F$9,0))</f>
        <v/>
      </c>
      <c r="P19" s="3" t="inlineStr">
        <is>
          <t>HIGH</t>
        </is>
      </c>
      <c r="Q19" s="5" t="inlineStr"/>
    </row>
    <row r="20">
      <c r="A20" s="3" t="n">
        <v>73</v>
      </c>
      <c r="B20" s="10" t="inlineStr">
        <is>
          <t>WR18</t>
        </is>
      </c>
      <c r="C20" s="5" t="inlineStr">
        <is>
          <t>Nico Collins</t>
        </is>
      </c>
      <c r="D20" s="3" t="inlineStr">
        <is>
          <t>HOU</t>
        </is>
      </c>
      <c r="E20" s="10" t="inlineStr">
        <is>
          <t>WR</t>
        </is>
      </c>
      <c r="F20" s="6" t="n"/>
      <c r="G20" s="6" t="n">
        <v>0.1</v>
      </c>
      <c r="H20" s="6" t="n">
        <v>6.8</v>
      </c>
      <c r="I20" s="6" t="n"/>
      <c r="J20" s="6" t="n"/>
      <c r="K20" s="6" t="n"/>
      <c r="L20" s="6" t="n"/>
      <c r="M20" s="7">
        <f>F20*Settings!$B$4+G20*Settings!$B$5+H20*Settings!$B$6+I20*Settings!$B$7+J20*Settings!$B$8+K20*Settings!$B$9+L20*Settings!$B$10</f>
        <v/>
      </c>
      <c r="N20" s="8">
        <f>M20-INDEX(Settings!$G$4:$G$9,MATCH($E20,Settings!$F$4:$F$9,0))</f>
        <v/>
      </c>
      <c r="O20" s="7">
        <f>N20*INDEX(Settings!$H$4:$H$9,MATCH($E20,Settings!$F$4:$F$9,0))</f>
        <v/>
      </c>
      <c r="P20" s="3" t="inlineStr">
        <is>
          <t>HIGH</t>
        </is>
      </c>
      <c r="Q20" s="5" t="inlineStr"/>
    </row>
    <row r="21">
      <c r="A21" s="3" t="n">
        <v>74</v>
      </c>
      <c r="B21" s="10" t="inlineStr">
        <is>
          <t>WR19</t>
        </is>
      </c>
      <c r="C21" s="5" t="inlineStr">
        <is>
          <t>Chris Olave</t>
        </is>
      </c>
      <c r="D21" s="3" t="inlineStr">
        <is>
          <t>NO</t>
        </is>
      </c>
      <c r="E21" s="10" t="inlineStr">
        <is>
          <t>WR</t>
        </is>
      </c>
      <c r="F21" s="6" t="n"/>
      <c r="G21" s="6" t="n"/>
      <c r="H21" s="6" t="n">
        <v>6.8</v>
      </c>
      <c r="I21" s="6" t="n"/>
      <c r="J21" s="6" t="n"/>
      <c r="K21" s="6" t="n"/>
      <c r="L21" s="6" t="n"/>
      <c r="M21" s="7">
        <f>F21*Settings!$B$4+G21*Settings!$B$5+H21*Settings!$B$6+I21*Settings!$B$7+J21*Settings!$B$8+K21*Settings!$B$9+L21*Settings!$B$10</f>
        <v/>
      </c>
      <c r="N21" s="8">
        <f>M21-INDEX(Settings!$G$4:$G$9,MATCH($E21,Settings!$F$4:$F$9,0))</f>
        <v/>
      </c>
      <c r="O21" s="7">
        <f>N21*INDEX(Settings!$H$4:$H$9,MATCH($E21,Settings!$F$4:$F$9,0))</f>
        <v/>
      </c>
      <c r="P21" s="3" t="inlineStr">
        <is>
          <t>HIGH</t>
        </is>
      </c>
      <c r="Q21" s="5" t="inlineStr"/>
    </row>
    <row r="22">
      <c r="A22" s="3" t="n">
        <v>76</v>
      </c>
      <c r="B22" s="10" t="inlineStr">
        <is>
          <t>WR20</t>
        </is>
      </c>
      <c r="C22" s="5" t="inlineStr">
        <is>
          <t>D.J. Moore</t>
        </is>
      </c>
      <c r="D22" s="3" t="inlineStr">
        <is>
          <t>BUF</t>
        </is>
      </c>
      <c r="E22" s="10" t="inlineStr">
        <is>
          <t>WR</t>
        </is>
      </c>
      <c r="F22" s="6" t="n"/>
      <c r="G22" s="6" t="n">
        <v>0.2</v>
      </c>
      <c r="H22" s="6" t="n">
        <v>6.5</v>
      </c>
      <c r="I22" s="6" t="n"/>
      <c r="J22" s="6" t="n"/>
      <c r="K22" s="6" t="n"/>
      <c r="L22" s="6" t="n"/>
      <c r="M22" s="7">
        <f>F22*Settings!$B$4+G22*Settings!$B$5+H22*Settings!$B$6+I22*Settings!$B$7+J22*Settings!$B$8+K22*Settings!$B$9+L22*Settings!$B$10</f>
        <v/>
      </c>
      <c r="N22" s="8">
        <f>M22-INDEX(Settings!$G$4:$G$9,MATCH($E22,Settings!$F$4:$F$9,0))</f>
        <v/>
      </c>
      <c r="O22" s="7">
        <f>N22*INDEX(Settings!$H$4:$H$9,MATCH($E22,Settings!$F$4:$F$9,0))</f>
        <v/>
      </c>
      <c r="P22" s="3" t="inlineStr">
        <is>
          <t>HIGH</t>
        </is>
      </c>
      <c r="Q22" s="5" t="inlineStr"/>
    </row>
    <row r="23">
      <c r="A23" s="3" t="n">
        <v>78</v>
      </c>
      <c r="B23" s="10" t="inlineStr">
        <is>
          <t>WR21</t>
        </is>
      </c>
      <c r="C23" s="5" t="inlineStr">
        <is>
          <t>Jameson Williams</t>
        </is>
      </c>
      <c r="D23" s="3" t="inlineStr">
        <is>
          <t>DET</t>
        </is>
      </c>
      <c r="E23" s="10" t="inlineStr">
        <is>
          <t>WR</t>
        </is>
      </c>
      <c r="F23" s="6" t="n"/>
      <c r="G23" s="6" t="n">
        <v>0.3</v>
      </c>
      <c r="H23" s="6" t="n">
        <v>6.3</v>
      </c>
      <c r="I23" s="6" t="n"/>
      <c r="J23" s="6" t="n"/>
      <c r="K23" s="6" t="n"/>
      <c r="L23" s="6" t="n"/>
      <c r="M23" s="7">
        <f>F23*Settings!$B$4+G23*Settings!$B$5+H23*Settings!$B$6+I23*Settings!$B$7+J23*Settings!$B$8+K23*Settings!$B$9+L23*Settings!$B$10</f>
        <v/>
      </c>
      <c r="N23" s="8">
        <f>M23-INDEX(Settings!$G$4:$G$9,MATCH($E23,Settings!$F$4:$F$9,0))</f>
        <v/>
      </c>
      <c r="O23" s="7">
        <f>N23*INDEX(Settings!$H$4:$H$9,MATCH($E23,Settings!$F$4:$F$9,0))</f>
        <v/>
      </c>
      <c r="P23" s="3" t="inlineStr">
        <is>
          <t>HIGH</t>
        </is>
      </c>
      <c r="Q23" s="5" t="inlineStr"/>
    </row>
    <row r="24">
      <c r="A24" s="3" t="n">
        <v>86</v>
      </c>
      <c r="B24" s="10" t="inlineStr">
        <is>
          <t>WR22</t>
        </is>
      </c>
      <c r="C24" s="5" t="inlineStr">
        <is>
          <t>Mike Evans</t>
        </is>
      </c>
      <c r="D24" s="3" t="inlineStr">
        <is>
          <t>SF</t>
        </is>
      </c>
      <c r="E24" s="10" t="inlineStr">
        <is>
          <t>WR</t>
        </is>
      </c>
      <c r="F24" s="6" t="n"/>
      <c r="G24" s="6" t="n"/>
      <c r="H24" s="6" t="n">
        <v>6.4</v>
      </c>
      <c r="I24" s="6" t="n"/>
      <c r="J24" s="6" t="n"/>
      <c r="K24" s="6" t="n"/>
      <c r="L24" s="6" t="n"/>
      <c r="M24" s="7">
        <f>F24*Settings!$B$4+G24*Settings!$B$5+H24*Settings!$B$6+I24*Settings!$B$7+J24*Settings!$B$8+K24*Settings!$B$9+L24*Settings!$B$10</f>
        <v/>
      </c>
      <c r="N24" s="8">
        <f>M24-INDEX(Settings!$G$4:$G$9,MATCH($E24,Settings!$F$4:$F$9,0))</f>
        <v/>
      </c>
      <c r="O24" s="7">
        <f>N24*INDEX(Settings!$H$4:$H$9,MATCH($E24,Settings!$F$4:$F$9,0))</f>
        <v/>
      </c>
      <c r="P24" s="3" t="inlineStr">
        <is>
          <t>HIGH</t>
        </is>
      </c>
      <c r="Q24" s="5" t="inlineStr"/>
    </row>
    <row r="25">
      <c r="A25" s="3" t="n">
        <v>93</v>
      </c>
      <c r="B25" s="10" t="inlineStr">
        <is>
          <t>WR23</t>
        </is>
      </c>
      <c r="C25" s="5" t="inlineStr">
        <is>
          <t>Ladd McConkey</t>
        </is>
      </c>
      <c r="D25" s="3" t="inlineStr">
        <is>
          <t>LAC</t>
        </is>
      </c>
      <c r="E25" s="10" t="inlineStr">
        <is>
          <t>WR</t>
        </is>
      </c>
      <c r="F25" s="6" t="n"/>
      <c r="G25" s="6" t="n"/>
      <c r="H25" s="6" t="n">
        <v>6.2</v>
      </c>
      <c r="I25" s="6" t="n"/>
      <c r="J25" s="6" t="n"/>
      <c r="K25" s="6" t="n"/>
      <c r="L25" s="6" t="n"/>
      <c r="M25" s="7">
        <f>F25*Settings!$B$4+G25*Settings!$B$5+H25*Settings!$B$6+I25*Settings!$B$7+J25*Settings!$B$8+K25*Settings!$B$9+L25*Settings!$B$10</f>
        <v/>
      </c>
      <c r="N25" s="8">
        <f>M25-INDEX(Settings!$G$4:$G$9,MATCH($E25,Settings!$F$4:$F$9,0))</f>
        <v/>
      </c>
      <c r="O25" s="7">
        <f>N25*INDEX(Settings!$H$4:$H$9,MATCH($E25,Settings!$F$4:$F$9,0))</f>
        <v/>
      </c>
      <c r="P25" s="3" t="inlineStr">
        <is>
          <t>HIGH</t>
        </is>
      </c>
      <c r="Q25" s="5" t="inlineStr"/>
    </row>
    <row r="26">
      <c r="A26" s="3" t="n">
        <v>102</v>
      </c>
      <c r="B26" s="10" t="inlineStr">
        <is>
          <t>WR24</t>
        </is>
      </c>
      <c r="C26" s="5" t="inlineStr">
        <is>
          <t>DK Metcalf</t>
        </is>
      </c>
      <c r="D26" s="3" t="inlineStr">
        <is>
          <t>PIT</t>
        </is>
      </c>
      <c r="E26" s="10" t="inlineStr">
        <is>
          <t>WR</t>
        </is>
      </c>
      <c r="F26" s="6" t="n"/>
      <c r="G26" s="6" t="n"/>
      <c r="H26" s="6" t="n">
        <v>6.1</v>
      </c>
      <c r="I26" s="6" t="n"/>
      <c r="J26" s="6" t="n"/>
      <c r="K26" s="6" t="n"/>
      <c r="L26" s="6" t="n"/>
      <c r="M26" s="7">
        <f>F26*Settings!$B$4+G26*Settings!$B$5+H26*Settings!$B$6+I26*Settings!$B$7+J26*Settings!$B$8+K26*Settings!$B$9+L26*Settings!$B$10</f>
        <v/>
      </c>
      <c r="N26" s="8">
        <f>M26-INDEX(Settings!$G$4:$G$9,MATCH($E26,Settings!$F$4:$F$9,0))</f>
        <v/>
      </c>
      <c r="O26" s="7">
        <f>N26*INDEX(Settings!$H$4:$H$9,MATCH($E26,Settings!$F$4:$F$9,0))</f>
        <v/>
      </c>
      <c r="P26" s="3" t="inlineStr">
        <is>
          <t>HIGH</t>
        </is>
      </c>
      <c r="Q26" s="5" t="inlineStr"/>
    </row>
    <row r="27">
      <c r="A27" s="3" t="n">
        <v>103</v>
      </c>
      <c r="B27" s="10" t="inlineStr">
        <is>
          <t>WR25</t>
        </is>
      </c>
      <c r="C27" s="5" t="inlineStr">
        <is>
          <t>Jaylen Waddle</t>
        </is>
      </c>
      <c r="D27" s="3" t="inlineStr">
        <is>
          <t>DEN</t>
        </is>
      </c>
      <c r="E27" s="10" t="inlineStr">
        <is>
          <t>WR</t>
        </is>
      </c>
      <c r="F27" s="6" t="n"/>
      <c r="G27" s="6" t="n">
        <v>0.1</v>
      </c>
      <c r="H27" s="6" t="n">
        <v>6</v>
      </c>
      <c r="I27" s="6" t="n"/>
      <c r="J27" s="6" t="n"/>
      <c r="K27" s="6" t="n"/>
      <c r="L27" s="6" t="n"/>
      <c r="M27" s="7">
        <f>F27*Settings!$B$4+G27*Settings!$B$5+H27*Settings!$B$6+I27*Settings!$B$7+J27*Settings!$B$8+K27*Settings!$B$9+L27*Settings!$B$10</f>
        <v/>
      </c>
      <c r="N27" s="8">
        <f>M27-INDEX(Settings!$G$4:$G$9,MATCH($E27,Settings!$F$4:$F$9,0))</f>
        <v/>
      </c>
      <c r="O27" s="7">
        <f>N27*INDEX(Settings!$H$4:$H$9,MATCH($E27,Settings!$F$4:$F$9,0))</f>
        <v/>
      </c>
      <c r="P27" s="3" t="inlineStr">
        <is>
          <t>HIGH</t>
        </is>
      </c>
      <c r="Q27" s="5" t="inlineStr"/>
    </row>
    <row r="28">
      <c r="A28" s="3" t="n">
        <v>114</v>
      </c>
      <c r="B28" s="10" t="inlineStr">
        <is>
          <t>WR26</t>
        </is>
      </c>
      <c r="C28" s="5" t="inlineStr">
        <is>
          <t>DeVonta Smith</t>
        </is>
      </c>
      <c r="D28" s="3" t="inlineStr">
        <is>
          <t>PHI</t>
        </is>
      </c>
      <c r="E28" s="10" t="inlineStr">
        <is>
          <t>WR</t>
        </is>
      </c>
      <c r="F28" s="6" t="n"/>
      <c r="G28" s="6" t="n"/>
      <c r="H28" s="6" t="n">
        <v>6</v>
      </c>
      <c r="I28" s="6" t="n"/>
      <c r="J28" s="6" t="n"/>
      <c r="K28" s="6" t="n"/>
      <c r="L28" s="6" t="n"/>
      <c r="M28" s="7">
        <f>F28*Settings!$B$4+G28*Settings!$B$5+H28*Settings!$B$6+I28*Settings!$B$7+J28*Settings!$B$8+K28*Settings!$B$9+L28*Settings!$B$10</f>
        <v/>
      </c>
      <c r="N28" s="8">
        <f>M28-INDEX(Settings!$G$4:$G$9,MATCH($E28,Settings!$F$4:$F$9,0))</f>
        <v/>
      </c>
      <c r="O28" s="7">
        <f>N28*INDEX(Settings!$H$4:$H$9,MATCH($E28,Settings!$F$4:$F$9,0))</f>
        <v/>
      </c>
      <c r="P28" s="3" t="inlineStr">
        <is>
          <t>HIGH</t>
        </is>
      </c>
      <c r="Q28" s="5" t="inlineStr"/>
    </row>
    <row r="29">
      <c r="A29" s="3" t="n">
        <v>115</v>
      </c>
      <c r="B29" s="10" t="inlineStr">
        <is>
          <t>WR27</t>
        </is>
      </c>
      <c r="C29" s="5" t="inlineStr">
        <is>
          <t>Tetairoa McMillan</t>
        </is>
      </c>
      <c r="D29" s="3" t="inlineStr">
        <is>
          <t>CAR</t>
        </is>
      </c>
      <c r="E29" s="10" t="inlineStr">
        <is>
          <t>WR</t>
        </is>
      </c>
      <c r="F29" s="6" t="n"/>
      <c r="G29" s="6" t="n"/>
      <c r="H29" s="6" t="n">
        <v>6</v>
      </c>
      <c r="I29" s="6" t="n"/>
      <c r="J29" s="6" t="n"/>
      <c r="K29" s="6" t="n"/>
      <c r="L29" s="6" t="n"/>
      <c r="M29" s="7">
        <f>F29*Settings!$B$4+G29*Settings!$B$5+H29*Settings!$B$6+I29*Settings!$B$7+J29*Settings!$B$8+K29*Settings!$B$9+L29*Settings!$B$10</f>
        <v/>
      </c>
      <c r="N29" s="8">
        <f>M29-INDEX(Settings!$G$4:$G$9,MATCH($E29,Settings!$F$4:$F$9,0))</f>
        <v/>
      </c>
      <c r="O29" s="7">
        <f>N29*INDEX(Settings!$H$4:$H$9,MATCH($E29,Settings!$F$4:$F$9,0))</f>
        <v/>
      </c>
      <c r="P29" s="3" t="inlineStr">
        <is>
          <t>HIGH</t>
        </is>
      </c>
      <c r="Q29" s="5" t="inlineStr"/>
    </row>
    <row r="30">
      <c r="A30" s="3" t="n">
        <v>116</v>
      </c>
      <c r="B30" s="10" t="inlineStr">
        <is>
          <t>WR28</t>
        </is>
      </c>
      <c r="C30" s="5" t="inlineStr">
        <is>
          <t>Terry McLaurin</t>
        </is>
      </c>
      <c r="D30" s="3" t="inlineStr">
        <is>
          <t>WAS</t>
        </is>
      </c>
      <c r="E30" s="10" t="inlineStr">
        <is>
          <t>WR</t>
        </is>
      </c>
      <c r="F30" s="6" t="n"/>
      <c r="G30" s="6" t="n"/>
      <c r="H30" s="6" t="n">
        <v>6</v>
      </c>
      <c r="I30" s="6" t="n"/>
      <c r="J30" s="6" t="n"/>
      <c r="K30" s="6" t="n"/>
      <c r="L30" s="6" t="n"/>
      <c r="M30" s="7">
        <f>F30*Settings!$B$4+G30*Settings!$B$5+H30*Settings!$B$6+I30*Settings!$B$7+J30*Settings!$B$8+K30*Settings!$B$9+L30*Settings!$B$10</f>
        <v/>
      </c>
      <c r="N30" s="8">
        <f>M30-INDEX(Settings!$G$4:$G$9,MATCH($E30,Settings!$F$4:$F$9,0))</f>
        <v/>
      </c>
      <c r="O30" s="7">
        <f>N30*INDEX(Settings!$H$4:$H$9,MATCH($E30,Settings!$F$4:$F$9,0))</f>
        <v/>
      </c>
      <c r="P30" s="3" t="inlineStr">
        <is>
          <t>HIGH</t>
        </is>
      </c>
      <c r="Q30" s="5" t="inlineStr"/>
    </row>
    <row r="31">
      <c r="A31" s="3" t="n">
        <v>117</v>
      </c>
      <c r="B31" s="10" t="inlineStr">
        <is>
          <t>WR29</t>
        </is>
      </c>
      <c r="C31" s="5" t="inlineStr">
        <is>
          <t>Zay Flowers</t>
        </is>
      </c>
      <c r="D31" s="3" t="inlineStr">
        <is>
          <t>BAL</t>
        </is>
      </c>
      <c r="E31" s="10" t="inlineStr">
        <is>
          <t>WR</t>
        </is>
      </c>
      <c r="F31" s="6" t="n"/>
      <c r="G31" s="6" t="n">
        <v>0.2</v>
      </c>
      <c r="H31" s="6" t="n">
        <v>5.8</v>
      </c>
      <c r="I31" s="6" t="n"/>
      <c r="J31" s="6" t="n"/>
      <c r="K31" s="6" t="n"/>
      <c r="L31" s="6" t="n"/>
      <c r="M31" s="7">
        <f>F31*Settings!$B$4+G31*Settings!$B$5+H31*Settings!$B$6+I31*Settings!$B$7+J31*Settings!$B$8+K31*Settings!$B$9+L31*Settings!$B$10</f>
        <v/>
      </c>
      <c r="N31" s="8">
        <f>M31-INDEX(Settings!$G$4:$G$9,MATCH($E31,Settings!$F$4:$F$9,0))</f>
        <v/>
      </c>
      <c r="O31" s="7">
        <f>N31*INDEX(Settings!$H$4:$H$9,MATCH($E31,Settings!$F$4:$F$9,0))</f>
        <v/>
      </c>
      <c r="P31" s="3" t="inlineStr">
        <is>
          <t>HIGH</t>
        </is>
      </c>
      <c r="Q31" s="5" t="inlineStr"/>
    </row>
    <row r="32">
      <c r="A32" s="3" t="n">
        <v>128</v>
      </c>
      <c r="B32" s="10" t="inlineStr">
        <is>
          <t>WR30</t>
        </is>
      </c>
      <c r="C32" s="5" t="inlineStr">
        <is>
          <t>Quentin Johnston</t>
        </is>
      </c>
      <c r="D32" s="3" t="inlineStr">
        <is>
          <t>LAC</t>
        </is>
      </c>
      <c r="E32" s="10" t="inlineStr">
        <is>
          <t>WR</t>
        </is>
      </c>
      <c r="F32" s="6" t="n"/>
      <c r="G32" s="6" t="n">
        <v>0.1</v>
      </c>
      <c r="H32" s="6" t="n">
        <v>5.8</v>
      </c>
      <c r="I32" s="6" t="n"/>
      <c r="J32" s="6" t="n"/>
      <c r="K32" s="6" t="n"/>
      <c r="L32" s="6" t="n"/>
      <c r="M32" s="7">
        <f>F32*Settings!$B$4+G32*Settings!$B$5+H32*Settings!$B$6+I32*Settings!$B$7+J32*Settings!$B$8+K32*Settings!$B$9+L32*Settings!$B$10</f>
        <v/>
      </c>
      <c r="N32" s="8">
        <f>M32-INDEX(Settings!$G$4:$G$9,MATCH($E32,Settings!$F$4:$F$9,0))</f>
        <v/>
      </c>
      <c r="O32" s="7">
        <f>N32*INDEX(Settings!$H$4:$H$9,MATCH($E32,Settings!$F$4:$F$9,0))</f>
        <v/>
      </c>
      <c r="P32" s="3" t="inlineStr">
        <is>
          <t>HIGH</t>
        </is>
      </c>
      <c r="Q32" s="5" t="inlineStr"/>
    </row>
    <row r="33">
      <c r="A33" s="3" t="n">
        <v>145</v>
      </c>
      <c r="B33" s="10" t="inlineStr">
        <is>
          <t>WR31</t>
        </is>
      </c>
      <c r="C33" s="5" t="inlineStr">
        <is>
          <t>Luther Burden III</t>
        </is>
      </c>
      <c r="D33" s="3" t="inlineStr">
        <is>
          <t>CHI</t>
        </is>
      </c>
      <c r="E33" s="10" t="inlineStr">
        <is>
          <t>WR</t>
        </is>
      </c>
      <c r="F33" s="6" t="n"/>
      <c r="G33" s="6" t="n">
        <v>0.2</v>
      </c>
      <c r="H33" s="6" t="n">
        <v>5.5</v>
      </c>
      <c r="I33" s="6" t="n"/>
      <c r="J33" s="6" t="n"/>
      <c r="K33" s="6" t="n"/>
      <c r="L33" s="6" t="n"/>
      <c r="M33" s="7">
        <f>F33*Settings!$B$4+G33*Settings!$B$5+H33*Settings!$B$6+I33*Settings!$B$7+J33*Settings!$B$8+K33*Settings!$B$9+L33*Settings!$B$10</f>
        <v/>
      </c>
      <c r="N33" s="8">
        <f>M33-INDEX(Settings!$G$4:$G$9,MATCH($E33,Settings!$F$4:$F$9,0))</f>
        <v/>
      </c>
      <c r="O33" s="7">
        <f>N33*INDEX(Settings!$H$4:$H$9,MATCH($E33,Settings!$F$4:$F$9,0))</f>
        <v/>
      </c>
      <c r="P33" s="3" t="inlineStr">
        <is>
          <t>HIGH</t>
        </is>
      </c>
      <c r="Q33" s="5" t="inlineStr"/>
    </row>
    <row r="34">
      <c r="A34" s="3" t="n">
        <v>149</v>
      </c>
      <c r="B34" s="10" t="inlineStr">
        <is>
          <t>WR32</t>
        </is>
      </c>
      <c r="C34" s="5" t="inlineStr">
        <is>
          <t>Marvin Harrison Jr.</t>
        </is>
      </c>
      <c r="D34" s="3" t="inlineStr">
        <is>
          <t>ARI</t>
        </is>
      </c>
      <c r="E34" s="10" t="inlineStr">
        <is>
          <t>WR</t>
        </is>
      </c>
      <c r="F34" s="6" t="n"/>
      <c r="G34" s="6" t="n"/>
      <c r="H34" s="6" t="n">
        <v>5.5</v>
      </c>
      <c r="I34" s="6" t="n"/>
      <c r="J34" s="6" t="n"/>
      <c r="K34" s="6" t="n"/>
      <c r="L34" s="6" t="n"/>
      <c r="M34" s="7">
        <f>F34*Settings!$B$4+G34*Settings!$B$5+H34*Settings!$B$6+I34*Settings!$B$7+J34*Settings!$B$8+K34*Settings!$B$9+L34*Settings!$B$10</f>
        <v/>
      </c>
      <c r="N34" s="8">
        <f>M34-INDEX(Settings!$G$4:$G$9,MATCH($E34,Settings!$F$4:$F$9,0))</f>
        <v/>
      </c>
      <c r="O34" s="7">
        <f>N34*INDEX(Settings!$H$4:$H$9,MATCH($E34,Settings!$F$4:$F$9,0))</f>
        <v/>
      </c>
      <c r="P34" s="3" t="inlineStr">
        <is>
          <t>HIGH</t>
        </is>
      </c>
      <c r="Q34" s="5" t="inlineStr"/>
    </row>
    <row r="35">
      <c r="A35" s="3" t="n">
        <v>156</v>
      </c>
      <c r="B35" s="10" t="inlineStr">
        <is>
          <t>WR33</t>
        </is>
      </c>
      <c r="C35" s="5" t="inlineStr">
        <is>
          <t>Romeo Doubs</t>
        </is>
      </c>
      <c r="D35" s="3" t="inlineStr">
        <is>
          <t>NE</t>
        </is>
      </c>
      <c r="E35" s="10" t="inlineStr">
        <is>
          <t>WR</t>
        </is>
      </c>
      <c r="F35" s="6" t="n"/>
      <c r="G35" s="6" t="n"/>
      <c r="H35" s="6" t="n">
        <v>5.2</v>
      </c>
      <c r="I35" s="6" t="n"/>
      <c r="J35" s="6" t="n"/>
      <c r="K35" s="6" t="n"/>
      <c r="L35" s="6" t="n"/>
      <c r="M35" s="7">
        <f>F35*Settings!$B$4+G35*Settings!$B$5+H35*Settings!$B$6+I35*Settings!$B$7+J35*Settings!$B$8+K35*Settings!$B$9+L35*Settings!$B$10</f>
        <v/>
      </c>
      <c r="N35" s="8">
        <f>M35-INDEX(Settings!$G$4:$G$9,MATCH($E35,Settings!$F$4:$F$9,0))</f>
        <v/>
      </c>
      <c r="O35" s="7">
        <f>N35*INDEX(Settings!$H$4:$H$9,MATCH($E35,Settings!$F$4:$F$9,0))</f>
        <v/>
      </c>
      <c r="P35" s="3" t="inlineStr">
        <is>
          <t>HIGH</t>
        </is>
      </c>
      <c r="Q35" s="5" t="inlineStr"/>
    </row>
    <row r="36">
      <c r="A36" s="3" t="n">
        <v>157</v>
      </c>
      <c r="B36" s="10" t="inlineStr">
        <is>
          <t>WR34</t>
        </is>
      </c>
      <c r="C36" s="5" t="inlineStr">
        <is>
          <t>Alec Pierce</t>
        </is>
      </c>
      <c r="D36" s="3" t="inlineStr">
        <is>
          <t>IND</t>
        </is>
      </c>
      <c r="E36" s="10" t="inlineStr">
        <is>
          <t>WR</t>
        </is>
      </c>
      <c r="F36" s="6" t="n"/>
      <c r="G36" s="6" t="n"/>
      <c r="H36" s="6" t="n">
        <v>5.2</v>
      </c>
      <c r="I36" s="6" t="n"/>
      <c r="J36" s="6" t="n"/>
      <c r="K36" s="6" t="n"/>
      <c r="L36" s="6" t="n"/>
      <c r="M36" s="7">
        <f>F36*Settings!$B$4+G36*Settings!$B$5+H36*Settings!$B$6+I36*Settings!$B$7+J36*Settings!$B$8+K36*Settings!$B$9+L36*Settings!$B$10</f>
        <v/>
      </c>
      <c r="N36" s="8">
        <f>M36-INDEX(Settings!$G$4:$G$9,MATCH($E36,Settings!$F$4:$F$9,0))</f>
        <v/>
      </c>
      <c r="O36" s="7">
        <f>N36*INDEX(Settings!$H$4:$H$9,MATCH($E36,Settings!$F$4:$F$9,0))</f>
        <v/>
      </c>
      <c r="P36" s="3" t="inlineStr">
        <is>
          <t>HIGH</t>
        </is>
      </c>
      <c r="Q36" s="5" t="inlineStr"/>
    </row>
    <row r="37">
      <c r="A37" s="3" t="n">
        <v>158</v>
      </c>
      <c r="B37" s="10" t="inlineStr">
        <is>
          <t>WR35</t>
        </is>
      </c>
      <c r="C37" s="5" t="inlineStr">
        <is>
          <t>Jakobi Meyers</t>
        </is>
      </c>
      <c r="D37" s="3" t="inlineStr">
        <is>
          <t>JAX</t>
        </is>
      </c>
      <c r="E37" s="10" t="inlineStr">
        <is>
          <t>WR</t>
        </is>
      </c>
      <c r="F37" s="6" t="n"/>
      <c r="G37" s="6" t="n">
        <v>0.1</v>
      </c>
      <c r="H37" s="6" t="n">
        <v>5.1</v>
      </c>
      <c r="I37" s="6" t="n"/>
      <c r="J37" s="6" t="n"/>
      <c r="K37" s="6" t="n"/>
      <c r="L37" s="6" t="n"/>
      <c r="M37" s="7">
        <f>F37*Settings!$B$4+G37*Settings!$B$5+H37*Settings!$B$6+I37*Settings!$B$7+J37*Settings!$B$8+K37*Settings!$B$9+L37*Settings!$B$10</f>
        <v/>
      </c>
      <c r="N37" s="8">
        <f>M37-INDEX(Settings!$G$4:$G$9,MATCH($E37,Settings!$F$4:$F$9,0))</f>
        <v/>
      </c>
      <c r="O37" s="7">
        <f>N37*INDEX(Settings!$H$4:$H$9,MATCH($E37,Settings!$F$4:$F$9,0))</f>
        <v/>
      </c>
      <c r="P37" s="3" t="inlineStr">
        <is>
          <t>HIGH</t>
        </is>
      </c>
      <c r="Q37" s="5" t="inlineStr"/>
    </row>
    <row r="38">
      <c r="A38" s="3" t="n">
        <v>159</v>
      </c>
      <c r="B38" s="10" t="inlineStr">
        <is>
          <t>WR36</t>
        </is>
      </c>
      <c r="C38" s="5" t="inlineStr">
        <is>
          <t>Jordan Addison</t>
        </is>
      </c>
      <c r="D38" s="3" t="inlineStr">
        <is>
          <t>MIN</t>
        </is>
      </c>
      <c r="E38" s="10" t="inlineStr">
        <is>
          <t>WR</t>
        </is>
      </c>
      <c r="F38" s="6" t="n"/>
      <c r="G38" s="6" t="n">
        <v>0.1</v>
      </c>
      <c r="H38" s="6" t="n">
        <v>5.1</v>
      </c>
      <c r="I38" s="6" t="n"/>
      <c r="J38" s="6" t="n"/>
      <c r="K38" s="6" t="n"/>
      <c r="L38" s="6" t="n"/>
      <c r="M38" s="7">
        <f>F38*Settings!$B$4+G38*Settings!$B$5+H38*Settings!$B$6+I38*Settings!$B$7+J38*Settings!$B$8+K38*Settings!$B$9+L38*Settings!$B$10</f>
        <v/>
      </c>
      <c r="N38" s="8">
        <f>M38-INDEX(Settings!$G$4:$G$9,MATCH($E38,Settings!$F$4:$F$9,0))</f>
        <v/>
      </c>
      <c r="O38" s="7">
        <f>N38*INDEX(Settings!$H$4:$H$9,MATCH($E38,Settings!$F$4:$F$9,0))</f>
        <v/>
      </c>
      <c r="P38" s="3" t="inlineStr">
        <is>
          <t>HIGH</t>
        </is>
      </c>
      <c r="Q38" s="5" t="inlineStr"/>
    </row>
    <row r="39">
      <c r="A39" s="3" t="n">
        <v>160</v>
      </c>
      <c r="B39" s="10" t="inlineStr">
        <is>
          <t>WR37</t>
        </is>
      </c>
      <c r="C39" s="5" t="inlineStr">
        <is>
          <t>Garrett Wilson</t>
        </is>
      </c>
      <c r="D39" s="3" t="inlineStr">
        <is>
          <t>NYJ</t>
        </is>
      </c>
      <c r="E39" s="10" t="inlineStr">
        <is>
          <t>WR</t>
        </is>
      </c>
      <c r="F39" s="6" t="n"/>
      <c r="G39" s="6" t="n">
        <v>0.1</v>
      </c>
      <c r="H39" s="6" t="n">
        <v>5.1</v>
      </c>
      <c r="I39" s="6" t="n"/>
      <c r="J39" s="6" t="n"/>
      <c r="K39" s="6" t="n"/>
      <c r="L39" s="6" t="n"/>
      <c r="M39" s="7">
        <f>F39*Settings!$B$4+G39*Settings!$B$5+H39*Settings!$B$6+I39*Settings!$B$7+J39*Settings!$B$8+K39*Settings!$B$9+L39*Settings!$B$10</f>
        <v/>
      </c>
      <c r="N39" s="8">
        <f>M39-INDEX(Settings!$G$4:$G$9,MATCH($E39,Settings!$F$4:$F$9,0))</f>
        <v/>
      </c>
      <c r="O39" s="7">
        <f>N39*INDEX(Settings!$H$4:$H$9,MATCH($E39,Settings!$F$4:$F$9,0))</f>
        <v/>
      </c>
      <c r="P39" s="3" t="inlineStr">
        <is>
          <t>HIGH</t>
        </is>
      </c>
      <c r="Q39" s="5" t="inlineStr"/>
    </row>
    <row r="40">
      <c r="A40" s="3" t="n">
        <v>161</v>
      </c>
      <c r="B40" s="10" t="inlineStr">
        <is>
          <t>WR38</t>
        </is>
      </c>
      <c r="C40" s="5" t="inlineStr">
        <is>
          <t>Parker Washington</t>
        </is>
      </c>
      <c r="D40" s="3" t="inlineStr">
        <is>
          <t>JAX</t>
        </is>
      </c>
      <c r="E40" s="10" t="inlineStr">
        <is>
          <t>WR</t>
        </is>
      </c>
      <c r="F40" s="6" t="n"/>
      <c r="G40" s="6" t="n">
        <v>0.1</v>
      </c>
      <c r="H40" s="6" t="n">
        <v>5.1</v>
      </c>
      <c r="I40" s="6" t="n"/>
      <c r="J40" s="6" t="n"/>
      <c r="K40" s="6" t="n"/>
      <c r="L40" s="6" t="n"/>
      <c r="M40" s="7">
        <f>F40*Settings!$B$4+G40*Settings!$B$5+H40*Settings!$B$6+I40*Settings!$B$7+J40*Settings!$B$8+K40*Settings!$B$9+L40*Settings!$B$10</f>
        <v/>
      </c>
      <c r="N40" s="8">
        <f>M40-INDEX(Settings!$G$4:$G$9,MATCH($E40,Settings!$F$4:$F$9,0))</f>
        <v/>
      </c>
      <c r="O40" s="7">
        <f>N40*INDEX(Settings!$H$4:$H$9,MATCH($E40,Settings!$F$4:$F$9,0))</f>
        <v/>
      </c>
      <c r="P40" s="3" t="inlineStr">
        <is>
          <t>HIGH</t>
        </is>
      </c>
      <c r="Q40" s="5" t="inlineStr"/>
    </row>
    <row r="41">
      <c r="A41" s="3" t="n">
        <v>163</v>
      </c>
      <c r="B41" s="10" t="inlineStr">
        <is>
          <t>WR39</t>
        </is>
      </c>
      <c r="C41" s="5" t="inlineStr">
        <is>
          <t>Brian Thomas Jr.</t>
        </is>
      </c>
      <c r="D41" s="3" t="inlineStr">
        <is>
          <t>JAX</t>
        </is>
      </c>
      <c r="E41" s="10" t="inlineStr">
        <is>
          <t>WR</t>
        </is>
      </c>
      <c r="F41" s="6" t="n"/>
      <c r="G41" s="6" t="n">
        <v>0.1</v>
      </c>
      <c r="H41" s="6" t="n">
        <v>5</v>
      </c>
      <c r="I41" s="6" t="n"/>
      <c r="J41" s="6" t="n"/>
      <c r="K41" s="6" t="n"/>
      <c r="L41" s="6" t="n"/>
      <c r="M41" s="7">
        <f>F41*Settings!$B$4+G41*Settings!$B$5+H41*Settings!$B$6+I41*Settings!$B$7+J41*Settings!$B$8+K41*Settings!$B$9+L41*Settings!$B$10</f>
        <v/>
      </c>
      <c r="N41" s="8">
        <f>M41-INDEX(Settings!$G$4:$G$9,MATCH($E41,Settings!$F$4:$F$9,0))</f>
        <v/>
      </c>
      <c r="O41" s="7">
        <f>N41*INDEX(Settings!$H$4:$H$9,MATCH($E41,Settings!$F$4:$F$9,0))</f>
        <v/>
      </c>
      <c r="P41" s="3" t="inlineStr">
        <is>
          <t>HIGH</t>
        </is>
      </c>
      <c r="Q41" s="5" t="inlineStr"/>
    </row>
    <row r="42">
      <c r="A42" s="3" t="n">
        <v>167</v>
      </c>
      <c r="B42" s="10" t="inlineStr">
        <is>
          <t>WR40</t>
        </is>
      </c>
      <c r="C42" s="5" t="inlineStr">
        <is>
          <t>Jayden Reed</t>
        </is>
      </c>
      <c r="D42" s="3" t="inlineStr">
        <is>
          <t>GB</t>
        </is>
      </c>
      <c r="E42" s="10" t="inlineStr">
        <is>
          <t>WR</t>
        </is>
      </c>
      <c r="F42" s="6" t="n"/>
      <c r="G42" s="6" t="n">
        <v>0.2</v>
      </c>
      <c r="H42" s="6" t="n">
        <v>4.7</v>
      </c>
      <c r="I42" s="6" t="n"/>
      <c r="J42" s="6" t="n"/>
      <c r="K42" s="6" t="n"/>
      <c r="L42" s="6" t="n"/>
      <c r="M42" s="7">
        <f>F42*Settings!$B$4+G42*Settings!$B$5+H42*Settings!$B$6+I42*Settings!$B$7+J42*Settings!$B$8+K42*Settings!$B$9+L42*Settings!$B$10</f>
        <v/>
      </c>
      <c r="N42" s="8">
        <f>M42-INDEX(Settings!$G$4:$G$9,MATCH($E42,Settings!$F$4:$F$9,0))</f>
        <v/>
      </c>
      <c r="O42" s="7">
        <f>N42*INDEX(Settings!$H$4:$H$9,MATCH($E42,Settings!$F$4:$F$9,0))</f>
        <v/>
      </c>
      <c r="P42" s="3" t="inlineStr">
        <is>
          <t>HIGH</t>
        </is>
      </c>
      <c r="Q42" s="5" t="inlineStr"/>
    </row>
    <row r="43">
      <c r="A43" s="3" t="n">
        <v>168</v>
      </c>
      <c r="B43" s="10" t="inlineStr">
        <is>
          <t>WR41</t>
        </is>
      </c>
      <c r="C43" s="5" t="inlineStr">
        <is>
          <t>Matthew Golden</t>
        </is>
      </c>
      <c r="D43" s="3" t="inlineStr">
        <is>
          <t>GB</t>
        </is>
      </c>
      <c r="E43" s="10" t="inlineStr">
        <is>
          <t>WR</t>
        </is>
      </c>
      <c r="F43" s="6" t="n"/>
      <c r="G43" s="6" t="n">
        <v>0.1</v>
      </c>
      <c r="H43" s="6" t="n">
        <v>4.8</v>
      </c>
      <c r="I43" s="6" t="n"/>
      <c r="J43" s="6" t="n"/>
      <c r="K43" s="6" t="n"/>
      <c r="L43" s="6" t="n"/>
      <c r="M43" s="7">
        <f>F43*Settings!$B$4+G43*Settings!$B$5+H43*Settings!$B$6+I43*Settings!$B$7+J43*Settings!$B$8+K43*Settings!$B$9+L43*Settings!$B$10</f>
        <v/>
      </c>
      <c r="N43" s="8">
        <f>M43-INDEX(Settings!$G$4:$G$9,MATCH($E43,Settings!$F$4:$F$9,0))</f>
        <v/>
      </c>
      <c r="O43" s="7">
        <f>N43*INDEX(Settings!$H$4:$H$9,MATCH($E43,Settings!$F$4:$F$9,0))</f>
        <v/>
      </c>
      <c r="P43" s="3" t="inlineStr">
        <is>
          <t>HIGH</t>
        </is>
      </c>
      <c r="Q43" s="5" t="inlineStr"/>
    </row>
    <row r="44">
      <c r="A44" s="3" t="n">
        <v>174</v>
      </c>
      <c r="B44" s="10" t="inlineStr">
        <is>
          <t>WR42</t>
        </is>
      </c>
      <c r="C44" s="5" t="inlineStr">
        <is>
          <t>Deebo Samuel Sr.</t>
        </is>
      </c>
      <c r="D44" s="3" t="inlineStr">
        <is>
          <t>SF</t>
        </is>
      </c>
      <c r="E44" s="10" t="inlineStr">
        <is>
          <t>WR</t>
        </is>
      </c>
      <c r="F44" s="6" t="n"/>
      <c r="G44" s="6" t="n">
        <v>1.1</v>
      </c>
      <c r="H44" s="6" t="n">
        <v>3.7</v>
      </c>
      <c r="I44" s="6" t="n"/>
      <c r="J44" s="6" t="n"/>
      <c r="K44" s="6" t="n"/>
      <c r="L44" s="6" t="n"/>
      <c r="M44" s="7">
        <f>F44*Settings!$B$4+G44*Settings!$B$5+H44*Settings!$B$6+I44*Settings!$B$7+J44*Settings!$B$8+K44*Settings!$B$9+L44*Settings!$B$10</f>
        <v/>
      </c>
      <c r="N44" s="8">
        <f>M44-INDEX(Settings!$G$4:$G$9,MATCH($E44,Settings!$F$4:$F$9,0))</f>
        <v/>
      </c>
      <c r="O44" s="7">
        <f>N44*INDEX(Settings!$H$4:$H$9,MATCH($E44,Settings!$F$4:$F$9,0))</f>
        <v/>
      </c>
      <c r="P44" s="3" t="inlineStr">
        <is>
          <t>LOW</t>
        </is>
      </c>
      <c r="Q44" s="5" t="inlineStr"/>
    </row>
    <row r="45">
      <c r="A45" s="3" t="n">
        <v>175</v>
      </c>
      <c r="B45" s="10" t="inlineStr">
        <is>
          <t>WR43</t>
        </is>
      </c>
      <c r="C45" s="5" t="inlineStr">
        <is>
          <t>Carnell Tate</t>
        </is>
      </c>
      <c r="D45" s="3" t="inlineStr">
        <is>
          <t>TEN</t>
        </is>
      </c>
      <c r="E45" s="10" t="inlineStr">
        <is>
          <t>WR</t>
        </is>
      </c>
      <c r="F45" s="6" t="n"/>
      <c r="G45" s="6" t="n"/>
      <c r="H45" s="6" t="n">
        <v>4.8</v>
      </c>
      <c r="I45" s="6" t="n"/>
      <c r="J45" s="6" t="n"/>
      <c r="K45" s="6" t="n"/>
      <c r="L45" s="6" t="n"/>
      <c r="M45" s="7">
        <f>F45*Settings!$B$4+G45*Settings!$B$5+H45*Settings!$B$6+I45*Settings!$B$7+J45*Settings!$B$8+K45*Settings!$B$9+L45*Settings!$B$10</f>
        <v/>
      </c>
      <c r="N45" s="8">
        <f>M45-INDEX(Settings!$G$4:$G$9,MATCH($E45,Settings!$F$4:$F$9,0))</f>
        <v/>
      </c>
      <c r="O45" s="7">
        <f>N45*INDEX(Settings!$H$4:$H$9,MATCH($E45,Settings!$F$4:$F$9,0))</f>
        <v/>
      </c>
      <c r="P45" s="3" t="inlineStr">
        <is>
          <t>HIGH</t>
        </is>
      </c>
      <c r="Q45" s="5" t="inlineStr"/>
    </row>
    <row r="46">
      <c r="A46" s="3" t="n">
        <v>176</v>
      </c>
      <c r="B46" s="10" t="inlineStr">
        <is>
          <t>WR44</t>
        </is>
      </c>
      <c r="C46" s="5" t="inlineStr">
        <is>
          <t>Chris Godwin</t>
        </is>
      </c>
      <c r="D46" s="3" t="inlineStr">
        <is>
          <t>TB</t>
        </is>
      </c>
      <c r="E46" s="10" t="inlineStr">
        <is>
          <t>WR</t>
        </is>
      </c>
      <c r="F46" s="6" t="n"/>
      <c r="G46" s="6" t="n"/>
      <c r="H46" s="6" t="n">
        <v>4.8</v>
      </c>
      <c r="I46" s="6" t="n"/>
      <c r="J46" s="6" t="n"/>
      <c r="K46" s="6" t="n"/>
      <c r="L46" s="6" t="n"/>
      <c r="M46" s="7">
        <f>F46*Settings!$B$4+G46*Settings!$B$5+H46*Settings!$B$6+I46*Settings!$B$7+J46*Settings!$B$8+K46*Settings!$B$9+L46*Settings!$B$10</f>
        <v/>
      </c>
      <c r="N46" s="8">
        <f>M46-INDEX(Settings!$G$4:$G$9,MATCH($E46,Settings!$F$4:$F$9,0))</f>
        <v/>
      </c>
      <c r="O46" s="7">
        <f>N46*INDEX(Settings!$H$4:$H$9,MATCH($E46,Settings!$F$4:$F$9,0))</f>
        <v/>
      </c>
      <c r="P46" s="3" t="inlineStr">
        <is>
          <t>HIGH</t>
        </is>
      </c>
      <c r="Q46" s="5" t="inlineStr"/>
    </row>
    <row r="47">
      <c r="A47" s="3" t="n">
        <v>184</v>
      </c>
      <c r="B47" s="10" t="inlineStr">
        <is>
          <t>WR45</t>
        </is>
      </c>
      <c r="C47" s="5" t="inlineStr">
        <is>
          <t>Makai Lemon</t>
        </is>
      </c>
      <c r="D47" s="3" t="inlineStr">
        <is>
          <t>PHI</t>
        </is>
      </c>
      <c r="E47" s="10" t="inlineStr">
        <is>
          <t>WR</t>
        </is>
      </c>
      <c r="F47" s="6" t="n"/>
      <c r="G47" s="6" t="n"/>
      <c r="H47" s="6" t="n">
        <v>4.7</v>
      </c>
      <c r="I47" s="6" t="n"/>
      <c r="J47" s="6" t="n"/>
      <c r="K47" s="6" t="n"/>
      <c r="L47" s="6" t="n"/>
      <c r="M47" s="7">
        <f>F47*Settings!$B$4+G47*Settings!$B$5+H47*Settings!$B$6+I47*Settings!$B$7+J47*Settings!$B$8+K47*Settings!$B$9+L47*Settings!$B$10</f>
        <v/>
      </c>
      <c r="N47" s="8">
        <f>M47-INDEX(Settings!$G$4:$G$9,MATCH($E47,Settings!$F$4:$F$9,0))</f>
        <v/>
      </c>
      <c r="O47" s="7">
        <f>N47*INDEX(Settings!$H$4:$H$9,MATCH($E47,Settings!$F$4:$F$9,0))</f>
        <v/>
      </c>
      <c r="P47" s="3" t="inlineStr">
        <is>
          <t>LOW</t>
        </is>
      </c>
      <c r="Q47" s="5" t="inlineStr"/>
    </row>
    <row r="48">
      <c r="A48" s="3" t="n">
        <v>187</v>
      </c>
      <c r="B48" s="10" t="inlineStr">
        <is>
          <t>WR46</t>
        </is>
      </c>
      <c r="C48" s="5" t="inlineStr">
        <is>
          <t>Xavier Worthy</t>
        </is>
      </c>
      <c r="D48" s="3" t="inlineStr">
        <is>
          <t>KC</t>
        </is>
      </c>
      <c r="E48" s="10" t="inlineStr">
        <is>
          <t>WR</t>
        </is>
      </c>
      <c r="F48" s="6" t="n"/>
      <c r="G48" s="6" t="n">
        <v>0.3</v>
      </c>
      <c r="H48" s="6" t="n">
        <v>4.3</v>
      </c>
      <c r="I48" s="6" t="n"/>
      <c r="J48" s="6" t="n"/>
      <c r="K48" s="6" t="n"/>
      <c r="L48" s="6" t="n"/>
      <c r="M48" s="7">
        <f>F48*Settings!$B$4+G48*Settings!$B$5+H48*Settings!$B$6+I48*Settings!$B$7+J48*Settings!$B$8+K48*Settings!$B$9+L48*Settings!$B$10</f>
        <v/>
      </c>
      <c r="N48" s="8">
        <f>M48-INDEX(Settings!$G$4:$G$9,MATCH($E48,Settings!$F$4:$F$9,0))</f>
        <v/>
      </c>
      <c r="O48" s="7">
        <f>N48*INDEX(Settings!$H$4:$H$9,MATCH($E48,Settings!$F$4:$F$9,0))</f>
        <v/>
      </c>
      <c r="P48" s="3" t="inlineStr">
        <is>
          <t>HIGH</t>
        </is>
      </c>
      <c r="Q48" s="5" t="inlineStr"/>
    </row>
    <row r="49">
      <c r="A49" s="3" t="n">
        <v>189</v>
      </c>
      <c r="B49" s="10" t="inlineStr">
        <is>
          <t>WR47</t>
        </is>
      </c>
      <c r="C49" s="5" t="inlineStr">
        <is>
          <t>De'Zhaun Stribling</t>
        </is>
      </c>
      <c r="D49" s="3" t="inlineStr">
        <is>
          <t>SF</t>
        </is>
      </c>
      <c r="E49" s="10" t="inlineStr">
        <is>
          <t>WR</t>
        </is>
      </c>
      <c r="F49" s="6" t="n"/>
      <c r="G49" s="6" t="n"/>
      <c r="H49" s="6" t="n">
        <v>4.5</v>
      </c>
      <c r="I49" s="6" t="n"/>
      <c r="J49" s="6" t="n"/>
      <c r="K49" s="6" t="n"/>
      <c r="L49" s="6" t="n"/>
      <c r="M49" s="7">
        <f>F49*Settings!$B$4+G49*Settings!$B$5+H49*Settings!$B$6+I49*Settings!$B$7+J49*Settings!$B$8+K49*Settings!$B$9+L49*Settings!$B$10</f>
        <v/>
      </c>
      <c r="N49" s="8">
        <f>M49-INDEX(Settings!$G$4:$G$9,MATCH($E49,Settings!$F$4:$F$9,0))</f>
        <v/>
      </c>
      <c r="O49" s="7">
        <f>N49*INDEX(Settings!$H$4:$H$9,MATCH($E49,Settings!$F$4:$F$9,0))</f>
        <v/>
      </c>
      <c r="P49" s="3" t="inlineStr">
        <is>
          <t>LOW</t>
        </is>
      </c>
      <c r="Q49" s="5" t="inlineStr"/>
    </row>
    <row r="50">
      <c r="A50" s="3" t="n">
        <v>190</v>
      </c>
      <c r="B50" s="10" t="inlineStr">
        <is>
          <t>WR48</t>
        </is>
      </c>
      <c r="C50" s="5" t="inlineStr">
        <is>
          <t>Michael Pittman Jr.</t>
        </is>
      </c>
      <c r="D50" s="3" t="inlineStr">
        <is>
          <t>PIT</t>
        </is>
      </c>
      <c r="E50" s="10" t="inlineStr">
        <is>
          <t>WR</t>
        </is>
      </c>
      <c r="F50" s="6" t="n"/>
      <c r="G50" s="6" t="n"/>
      <c r="H50" s="6" t="n">
        <v>4.5</v>
      </c>
      <c r="I50" s="6" t="n"/>
      <c r="J50" s="6" t="n"/>
      <c r="K50" s="6" t="n"/>
      <c r="L50" s="6" t="n"/>
      <c r="M50" s="7">
        <f>F50*Settings!$B$4+G50*Settings!$B$5+H50*Settings!$B$6+I50*Settings!$B$7+J50*Settings!$B$8+K50*Settings!$B$9+L50*Settings!$B$10</f>
        <v/>
      </c>
      <c r="N50" s="8">
        <f>M50-INDEX(Settings!$G$4:$G$9,MATCH($E50,Settings!$F$4:$F$9,0))</f>
        <v/>
      </c>
      <c r="O50" s="7">
        <f>N50*INDEX(Settings!$H$4:$H$9,MATCH($E50,Settings!$F$4:$F$9,0))</f>
        <v/>
      </c>
      <c r="P50" s="3" t="inlineStr">
        <is>
          <t>HIGH</t>
        </is>
      </c>
      <c r="Q50" s="5" t="inlineStr"/>
    </row>
    <row r="51">
      <c r="A51" s="3" t="n">
        <v>195</v>
      </c>
      <c r="B51" s="10" t="inlineStr">
        <is>
          <t>WR49</t>
        </is>
      </c>
      <c r="C51" s="5" t="inlineStr">
        <is>
          <t>Stefon Diggs</t>
        </is>
      </c>
      <c r="D51" s="3" t="inlineStr">
        <is>
          <t>WAS</t>
        </is>
      </c>
      <c r="E51" s="10" t="inlineStr">
        <is>
          <t>WR</t>
        </is>
      </c>
      <c r="F51" s="6" t="n"/>
      <c r="G51" s="6" t="n"/>
      <c r="H51" s="6" t="n">
        <v>4.2</v>
      </c>
      <c r="I51" s="6" t="n"/>
      <c r="J51" s="6" t="n"/>
      <c r="K51" s="6" t="n"/>
      <c r="L51" s="6" t="n"/>
      <c r="M51" s="7">
        <f>F51*Settings!$B$4+G51*Settings!$B$5+H51*Settings!$B$6+I51*Settings!$B$7+J51*Settings!$B$8+K51*Settings!$B$9+L51*Settings!$B$10</f>
        <v/>
      </c>
      <c r="N51" s="8">
        <f>M51-INDEX(Settings!$G$4:$G$9,MATCH($E51,Settings!$F$4:$F$9,0))</f>
        <v/>
      </c>
      <c r="O51" s="7">
        <f>N51*INDEX(Settings!$H$4:$H$9,MATCH($E51,Settings!$F$4:$F$9,0))</f>
        <v/>
      </c>
      <c r="P51" s="3" t="inlineStr">
        <is>
          <t>HIGH</t>
        </is>
      </c>
      <c r="Q51" s="5" t="inlineStr"/>
    </row>
    <row r="52">
      <c r="A52" s="3" t="n">
        <v>198</v>
      </c>
      <c r="B52" s="10" t="inlineStr">
        <is>
          <t>WR50</t>
        </is>
      </c>
      <c r="C52" s="5" t="inlineStr">
        <is>
          <t>Jalen McMillan</t>
        </is>
      </c>
      <c r="D52" s="3" t="inlineStr">
        <is>
          <t>TB</t>
        </is>
      </c>
      <c r="E52" s="10" t="inlineStr">
        <is>
          <t>WR</t>
        </is>
      </c>
      <c r="F52" s="6" t="n"/>
      <c r="G52" s="6" t="n">
        <v>0.2</v>
      </c>
      <c r="H52" s="6" t="n">
        <v>3.9</v>
      </c>
      <c r="I52" s="6" t="n"/>
      <c r="J52" s="6" t="n"/>
      <c r="K52" s="6" t="n"/>
      <c r="L52" s="6" t="n"/>
      <c r="M52" s="7">
        <f>F52*Settings!$B$4+G52*Settings!$B$5+H52*Settings!$B$6+I52*Settings!$B$7+J52*Settings!$B$8+K52*Settings!$B$9+L52*Settings!$B$10</f>
        <v/>
      </c>
      <c r="N52" s="8">
        <f>M52-INDEX(Settings!$G$4:$G$9,MATCH($E52,Settings!$F$4:$F$9,0))</f>
        <v/>
      </c>
      <c r="O52" s="7">
        <f>N52*INDEX(Settings!$H$4:$H$9,MATCH($E52,Settings!$F$4:$F$9,0))</f>
        <v/>
      </c>
      <c r="P52" s="3" t="inlineStr">
        <is>
          <t>LOW</t>
        </is>
      </c>
      <c r="Q52" s="5" t="inlineStr"/>
    </row>
    <row r="53">
      <c r="A53" s="3" t="n">
        <v>202</v>
      </c>
      <c r="B53" s="10" t="inlineStr">
        <is>
          <t>WR51</t>
        </is>
      </c>
      <c r="C53" s="5" t="inlineStr">
        <is>
          <t>Rashod Bateman</t>
        </is>
      </c>
      <c r="D53" s="3" t="inlineStr">
        <is>
          <t>BAL</t>
        </is>
      </c>
      <c r="E53" s="10" t="inlineStr">
        <is>
          <t>WR</t>
        </is>
      </c>
      <c r="F53" s="6" t="n"/>
      <c r="G53" s="6" t="n"/>
      <c r="H53" s="6" t="n">
        <v>4</v>
      </c>
      <c r="I53" s="6" t="n"/>
      <c r="J53" s="6" t="n"/>
      <c r="K53" s="6" t="n"/>
      <c r="L53" s="6" t="n"/>
      <c r="M53" s="7">
        <f>F53*Settings!$B$4+G53*Settings!$B$5+H53*Settings!$B$6+I53*Settings!$B$7+J53*Settings!$B$8+K53*Settings!$B$9+L53*Settings!$B$10</f>
        <v/>
      </c>
      <c r="N53" s="8">
        <f>M53-INDEX(Settings!$G$4:$G$9,MATCH($E53,Settings!$F$4:$F$9,0))</f>
        <v/>
      </c>
      <c r="O53" s="7">
        <f>N53*INDEX(Settings!$H$4:$H$9,MATCH($E53,Settings!$F$4:$F$9,0))</f>
        <v/>
      </c>
      <c r="P53" s="3" t="inlineStr">
        <is>
          <t>LOW</t>
        </is>
      </c>
      <c r="Q53" s="5" t="inlineStr"/>
    </row>
    <row r="54">
      <c r="A54" s="3" t="n">
        <v>203</v>
      </c>
      <c r="B54" s="10" t="inlineStr">
        <is>
          <t>WR52</t>
        </is>
      </c>
      <c r="C54" s="5" t="inlineStr">
        <is>
          <t>Rashid Shaheed</t>
        </is>
      </c>
      <c r="D54" s="3" t="inlineStr">
        <is>
          <t>SEA</t>
        </is>
      </c>
      <c r="E54" s="10" t="inlineStr">
        <is>
          <t>WR</t>
        </is>
      </c>
      <c r="F54" s="6" t="n"/>
      <c r="G54" s="6" t="n">
        <v>0.5</v>
      </c>
      <c r="H54" s="6" t="n">
        <v>3.5</v>
      </c>
      <c r="I54" s="6" t="n"/>
      <c r="J54" s="6" t="n"/>
      <c r="K54" s="6" t="n"/>
      <c r="L54" s="6" t="n"/>
      <c r="M54" s="7">
        <f>F54*Settings!$B$4+G54*Settings!$B$5+H54*Settings!$B$6+I54*Settings!$B$7+J54*Settings!$B$8+K54*Settings!$B$9+L54*Settings!$B$10</f>
        <v/>
      </c>
      <c r="N54" s="8">
        <f>M54-INDEX(Settings!$G$4:$G$9,MATCH($E54,Settings!$F$4:$F$9,0))</f>
        <v/>
      </c>
      <c r="O54" s="7">
        <f>N54*INDEX(Settings!$H$4:$H$9,MATCH($E54,Settings!$F$4:$F$9,0))</f>
        <v/>
      </c>
      <c r="P54" s="3" t="inlineStr">
        <is>
          <t>LOW</t>
        </is>
      </c>
      <c r="Q54" s="5" t="inlineStr"/>
    </row>
    <row r="55">
      <c r="A55" s="3" t="n">
        <v>204</v>
      </c>
      <c r="B55" s="10" t="inlineStr">
        <is>
          <t>WR53</t>
        </is>
      </c>
      <c r="C55" s="5" t="inlineStr">
        <is>
          <t>Khalil Shakir</t>
        </is>
      </c>
      <c r="D55" s="3" t="inlineStr">
        <is>
          <t>BUF</t>
        </is>
      </c>
      <c r="E55" s="10" t="inlineStr">
        <is>
          <t>WR</t>
        </is>
      </c>
      <c r="F55" s="6" t="n"/>
      <c r="G55" s="6" t="n">
        <v>0.1</v>
      </c>
      <c r="H55" s="6" t="n">
        <v>3.9</v>
      </c>
      <c r="I55" s="6" t="n"/>
      <c r="J55" s="6" t="n"/>
      <c r="K55" s="6" t="n"/>
      <c r="L55" s="6" t="n"/>
      <c r="M55" s="7">
        <f>F55*Settings!$B$4+G55*Settings!$B$5+H55*Settings!$B$6+I55*Settings!$B$7+J55*Settings!$B$8+K55*Settings!$B$9+L55*Settings!$B$10</f>
        <v/>
      </c>
      <c r="N55" s="8">
        <f>M55-INDEX(Settings!$G$4:$G$9,MATCH($E55,Settings!$F$4:$F$9,0))</f>
        <v/>
      </c>
      <c r="O55" s="7">
        <f>N55*INDEX(Settings!$H$4:$H$9,MATCH($E55,Settings!$F$4:$F$9,0))</f>
        <v/>
      </c>
      <c r="P55" s="3" t="inlineStr">
        <is>
          <t>HIGH</t>
        </is>
      </c>
      <c r="Q55" s="5" t="inlineStr"/>
    </row>
    <row r="56">
      <c r="A56" s="3" t="n">
        <v>208</v>
      </c>
      <c r="B56" s="10" t="inlineStr">
        <is>
          <t>WR54</t>
        </is>
      </c>
      <c r="C56" s="5" t="inlineStr">
        <is>
          <t>Michael Wilson</t>
        </is>
      </c>
      <c r="D56" s="3" t="inlineStr">
        <is>
          <t>ARI</t>
        </is>
      </c>
      <c r="E56" s="10" t="inlineStr">
        <is>
          <t>WR</t>
        </is>
      </c>
      <c r="F56" s="6" t="n"/>
      <c r="G56" s="6" t="n"/>
      <c r="H56" s="6" t="n">
        <v>3.7</v>
      </c>
      <c r="I56" s="6" t="n"/>
      <c r="J56" s="6" t="n"/>
      <c r="K56" s="6" t="n"/>
      <c r="L56" s="6" t="n"/>
      <c r="M56" s="7">
        <f>F56*Settings!$B$4+G56*Settings!$B$5+H56*Settings!$B$6+I56*Settings!$B$7+J56*Settings!$B$8+K56*Settings!$B$9+L56*Settings!$B$10</f>
        <v/>
      </c>
      <c r="N56" s="8">
        <f>M56-INDEX(Settings!$G$4:$G$9,MATCH($E56,Settings!$F$4:$F$9,0))</f>
        <v/>
      </c>
      <c r="O56" s="7">
        <f>N56*INDEX(Settings!$H$4:$H$9,MATCH($E56,Settings!$F$4:$F$9,0))</f>
        <v/>
      </c>
      <c r="P56" s="3" t="inlineStr">
        <is>
          <t>HIGH</t>
        </is>
      </c>
      <c r="Q56" s="5" t="inlineStr"/>
    </row>
    <row r="57">
      <c r="A57" s="3" t="n">
        <v>209</v>
      </c>
      <c r="B57" s="10" t="inlineStr">
        <is>
          <t>WR55</t>
        </is>
      </c>
      <c r="C57" s="5" t="inlineStr">
        <is>
          <t>Adonai Mitchell</t>
        </is>
      </c>
      <c r="D57" s="3" t="inlineStr">
        <is>
          <t>NYJ</t>
        </is>
      </c>
      <c r="E57" s="10" t="inlineStr">
        <is>
          <t>WR</t>
        </is>
      </c>
      <c r="F57" s="6" t="n"/>
      <c r="G57" s="6" t="n">
        <v>0.1</v>
      </c>
      <c r="H57" s="6" t="n">
        <v>3.6</v>
      </c>
      <c r="I57" s="6" t="n"/>
      <c r="J57" s="6" t="n"/>
      <c r="K57" s="6" t="n"/>
      <c r="L57" s="6" t="n"/>
      <c r="M57" s="7">
        <f>F57*Settings!$B$4+G57*Settings!$B$5+H57*Settings!$B$6+I57*Settings!$B$7+J57*Settings!$B$8+K57*Settings!$B$9+L57*Settings!$B$10</f>
        <v/>
      </c>
      <c r="N57" s="8">
        <f>M57-INDEX(Settings!$G$4:$G$9,MATCH($E57,Settings!$F$4:$F$9,0))</f>
        <v/>
      </c>
      <c r="O57" s="7">
        <f>N57*INDEX(Settings!$H$4:$H$9,MATCH($E57,Settings!$F$4:$F$9,0))</f>
        <v/>
      </c>
      <c r="P57" s="3" t="inlineStr">
        <is>
          <t>LOW</t>
        </is>
      </c>
      <c r="Q57" s="5" t="inlineStr"/>
    </row>
    <row r="58">
      <c r="A58" s="3" t="n">
        <v>210</v>
      </c>
      <c r="B58" s="10" t="inlineStr">
        <is>
          <t>WR56</t>
        </is>
      </c>
      <c r="C58" s="5" t="inlineStr">
        <is>
          <t>Calvin Ridley</t>
        </is>
      </c>
      <c r="D58" s="3" t="inlineStr">
        <is>
          <t>TEN</t>
        </is>
      </c>
      <c r="E58" s="10" t="inlineStr">
        <is>
          <t>WR</t>
        </is>
      </c>
      <c r="F58" s="6" t="n"/>
      <c r="G58" s="6" t="n">
        <v>0.2</v>
      </c>
      <c r="H58" s="6" t="n">
        <v>3.4</v>
      </c>
      <c r="I58" s="6" t="n"/>
      <c r="J58" s="6" t="n"/>
      <c r="K58" s="6" t="n"/>
      <c r="L58" s="6" t="n"/>
      <c r="M58" s="7">
        <f>F58*Settings!$B$4+G58*Settings!$B$5+H58*Settings!$B$6+I58*Settings!$B$7+J58*Settings!$B$8+K58*Settings!$B$9+L58*Settings!$B$10</f>
        <v/>
      </c>
      <c r="N58" s="8">
        <f>M58-INDEX(Settings!$G$4:$G$9,MATCH($E58,Settings!$F$4:$F$9,0))</f>
        <v/>
      </c>
      <c r="O58" s="7">
        <f>N58*INDEX(Settings!$H$4:$H$9,MATCH($E58,Settings!$F$4:$F$9,0))</f>
        <v/>
      </c>
      <c r="P58" s="3" t="inlineStr">
        <is>
          <t>LOW</t>
        </is>
      </c>
      <c r="Q58" s="5" t="inlineStr"/>
    </row>
    <row r="59">
      <c r="A59" s="3" t="n">
        <v>212</v>
      </c>
      <c r="B59" s="10" t="inlineStr">
        <is>
          <t>WR57</t>
        </is>
      </c>
      <c r="C59" s="5" t="inlineStr">
        <is>
          <t>Ja'Kobi Lane</t>
        </is>
      </c>
      <c r="D59" s="3" t="inlineStr">
        <is>
          <t>BAL</t>
        </is>
      </c>
      <c r="E59" s="10" t="inlineStr">
        <is>
          <t>WR</t>
        </is>
      </c>
      <c r="F59" s="6" t="n"/>
      <c r="G59" s="6" t="n"/>
      <c r="H59" s="6" t="n">
        <v>3.5</v>
      </c>
      <c r="I59" s="6" t="n"/>
      <c r="J59" s="6" t="n"/>
      <c r="K59" s="6" t="n"/>
      <c r="L59" s="6" t="n"/>
      <c r="M59" s="7">
        <f>F59*Settings!$B$4+G59*Settings!$B$5+H59*Settings!$B$6+I59*Settings!$B$7+J59*Settings!$B$8+K59*Settings!$B$9+L59*Settings!$B$10</f>
        <v/>
      </c>
      <c r="N59" s="8">
        <f>M59-INDEX(Settings!$G$4:$G$9,MATCH($E59,Settings!$F$4:$F$9,0))</f>
        <v/>
      </c>
      <c r="O59" s="7">
        <f>N59*INDEX(Settings!$H$4:$H$9,MATCH($E59,Settings!$F$4:$F$9,0))</f>
        <v/>
      </c>
      <c r="P59" s="3" t="inlineStr">
        <is>
          <t>LOW</t>
        </is>
      </c>
      <c r="Q59" s="5" t="inlineStr"/>
    </row>
    <row r="60">
      <c r="A60" s="3" t="n">
        <v>213</v>
      </c>
      <c r="B60" s="10" t="inlineStr">
        <is>
          <t>WR58</t>
        </is>
      </c>
      <c r="C60" s="5" t="inlineStr">
        <is>
          <t>Josh Downs</t>
        </is>
      </c>
      <c r="D60" s="3" t="inlineStr">
        <is>
          <t>IND</t>
        </is>
      </c>
      <c r="E60" s="10" t="inlineStr">
        <is>
          <t>WR</t>
        </is>
      </c>
      <c r="F60" s="6" t="n"/>
      <c r="G60" s="6" t="n">
        <v>0.1</v>
      </c>
      <c r="H60" s="6" t="n">
        <v>3.4</v>
      </c>
      <c r="I60" s="6" t="n"/>
      <c r="J60" s="6" t="n"/>
      <c r="K60" s="6" t="n"/>
      <c r="L60" s="6" t="n"/>
      <c r="M60" s="7">
        <f>F60*Settings!$B$4+G60*Settings!$B$5+H60*Settings!$B$6+I60*Settings!$B$7+J60*Settings!$B$8+K60*Settings!$B$9+L60*Settings!$B$10</f>
        <v/>
      </c>
      <c r="N60" s="8">
        <f>M60-INDEX(Settings!$G$4:$G$9,MATCH($E60,Settings!$F$4:$F$9,0))</f>
        <v/>
      </c>
      <c r="O60" s="7">
        <f>N60*INDEX(Settings!$H$4:$H$9,MATCH($E60,Settings!$F$4:$F$9,0))</f>
        <v/>
      </c>
      <c r="P60" s="3" t="inlineStr">
        <is>
          <t>HIGH</t>
        </is>
      </c>
      <c r="Q60" s="5" t="inlineStr"/>
    </row>
    <row r="61">
      <c r="A61" s="3" t="n">
        <v>215</v>
      </c>
      <c r="B61" s="10" t="inlineStr">
        <is>
          <t>WR59</t>
        </is>
      </c>
      <c r="C61" s="5" t="inlineStr">
        <is>
          <t>Devaughn Vele</t>
        </is>
      </c>
      <c r="D61" s="3" t="inlineStr">
        <is>
          <t>NO</t>
        </is>
      </c>
      <c r="E61" s="10" t="inlineStr">
        <is>
          <t>WR</t>
        </is>
      </c>
      <c r="F61" s="6" t="n"/>
      <c r="G61" s="6" t="n"/>
      <c r="H61" s="6" t="n">
        <v>3.4</v>
      </c>
      <c r="I61" s="6" t="n"/>
      <c r="J61" s="6" t="n"/>
      <c r="K61" s="6" t="n"/>
      <c r="L61" s="6" t="n"/>
      <c r="M61" s="7">
        <f>F61*Settings!$B$4+G61*Settings!$B$5+H61*Settings!$B$6+I61*Settings!$B$7+J61*Settings!$B$8+K61*Settings!$B$9+L61*Settings!$B$10</f>
        <v/>
      </c>
      <c r="N61" s="8">
        <f>M61-INDEX(Settings!$G$4:$G$9,MATCH($E61,Settings!$F$4:$F$9,0))</f>
        <v/>
      </c>
      <c r="O61" s="7">
        <f>N61*INDEX(Settings!$H$4:$H$9,MATCH($E61,Settings!$F$4:$F$9,0))</f>
        <v/>
      </c>
      <c r="P61" s="3" t="inlineStr">
        <is>
          <t>LOW</t>
        </is>
      </c>
      <c r="Q61" s="5" t="inlineStr"/>
    </row>
    <row r="62">
      <c r="A62" s="3" t="n">
        <v>216</v>
      </c>
      <c r="B62" s="10" t="inlineStr">
        <is>
          <t>WR60</t>
        </is>
      </c>
      <c r="C62" s="5" t="inlineStr">
        <is>
          <t>Travis Hunter</t>
        </is>
      </c>
      <c r="D62" s="3" t="inlineStr">
        <is>
          <t>JAX</t>
        </is>
      </c>
      <c r="E62" s="10" t="inlineStr">
        <is>
          <t>WR</t>
        </is>
      </c>
      <c r="F62" s="6" t="n"/>
      <c r="G62" s="6" t="n">
        <v>0.1</v>
      </c>
      <c r="H62" s="6" t="n">
        <v>3.3</v>
      </c>
      <c r="I62" s="6" t="n"/>
      <c r="J62" s="6" t="n"/>
      <c r="K62" s="6" t="n"/>
      <c r="L62" s="6" t="n"/>
      <c r="M62" s="7">
        <f>F62*Settings!$B$4+G62*Settings!$B$5+H62*Settings!$B$6+I62*Settings!$B$7+J62*Settings!$B$8+K62*Settings!$B$9+L62*Settings!$B$10</f>
        <v/>
      </c>
      <c r="N62" s="8">
        <f>M62-INDEX(Settings!$G$4:$G$9,MATCH($E62,Settings!$F$4:$F$9,0))</f>
        <v/>
      </c>
      <c r="O62" s="7">
        <f>N62*INDEX(Settings!$H$4:$H$9,MATCH($E62,Settings!$F$4:$F$9,0))</f>
        <v/>
      </c>
      <c r="P62" s="3" t="inlineStr">
        <is>
          <t>LOW</t>
        </is>
      </c>
      <c r="Q62" s="5" t="inlineStr"/>
    </row>
    <row r="63">
      <c r="A63" s="3" t="n">
        <v>217</v>
      </c>
      <c r="B63" s="10" t="inlineStr">
        <is>
          <t>WR61</t>
        </is>
      </c>
      <c r="C63" s="5" t="inlineStr">
        <is>
          <t>KC Concepcion</t>
        </is>
      </c>
      <c r="D63" s="3" t="inlineStr">
        <is>
          <t>CLE</t>
        </is>
      </c>
      <c r="E63" s="10" t="inlineStr">
        <is>
          <t>WR</t>
        </is>
      </c>
      <c r="F63" s="6" t="n"/>
      <c r="G63" s="6" t="n">
        <v>0.2</v>
      </c>
      <c r="H63" s="6" t="n">
        <v>3.1</v>
      </c>
      <c r="I63" s="6" t="n"/>
      <c r="J63" s="6" t="n"/>
      <c r="K63" s="6" t="n"/>
      <c r="L63" s="6" t="n"/>
      <c r="M63" s="7">
        <f>F63*Settings!$B$4+G63*Settings!$B$5+H63*Settings!$B$6+I63*Settings!$B$7+J63*Settings!$B$8+K63*Settings!$B$9+L63*Settings!$B$10</f>
        <v/>
      </c>
      <c r="N63" s="8">
        <f>M63-INDEX(Settings!$G$4:$G$9,MATCH($E63,Settings!$F$4:$F$9,0))</f>
        <v/>
      </c>
      <c r="O63" s="7">
        <f>N63*INDEX(Settings!$H$4:$H$9,MATCH($E63,Settings!$F$4:$F$9,0))</f>
        <v/>
      </c>
      <c r="P63" s="3" t="inlineStr">
        <is>
          <t>LOW</t>
        </is>
      </c>
      <c r="Q63" s="5" t="inlineStr"/>
    </row>
    <row r="64">
      <c r="A64" s="3" t="n">
        <v>218</v>
      </c>
      <c r="B64" s="10" t="inlineStr">
        <is>
          <t>WR62</t>
        </is>
      </c>
      <c r="C64" s="5" t="inlineStr">
        <is>
          <t>Jauan Jennings</t>
        </is>
      </c>
      <c r="D64" s="3" t="inlineStr">
        <is>
          <t>MIN</t>
        </is>
      </c>
      <c r="E64" s="10" t="inlineStr">
        <is>
          <t>WR</t>
        </is>
      </c>
      <c r="F64" s="6" t="n"/>
      <c r="G64" s="6" t="n"/>
      <c r="H64" s="6" t="n">
        <v>3.3</v>
      </c>
      <c r="I64" s="6" t="n"/>
      <c r="J64" s="6" t="n"/>
      <c r="K64" s="6" t="n"/>
      <c r="L64" s="6" t="n"/>
      <c r="M64" s="7">
        <f>F64*Settings!$B$4+G64*Settings!$B$5+H64*Settings!$B$6+I64*Settings!$B$7+J64*Settings!$B$8+K64*Settings!$B$9+L64*Settings!$B$10</f>
        <v/>
      </c>
      <c r="N64" s="8">
        <f>M64-INDEX(Settings!$G$4:$G$9,MATCH($E64,Settings!$F$4:$F$9,0))</f>
        <v/>
      </c>
      <c r="O64" s="7">
        <f>N64*INDEX(Settings!$H$4:$H$9,MATCH($E64,Settings!$F$4:$F$9,0))</f>
        <v/>
      </c>
      <c r="P64" s="3" t="inlineStr">
        <is>
          <t>LOW</t>
        </is>
      </c>
      <c r="Q64" s="5" t="inlineStr"/>
    </row>
    <row r="65">
      <c r="A65" s="3" t="n">
        <v>220</v>
      </c>
      <c r="B65" s="10" t="inlineStr">
        <is>
          <t>WR63</t>
        </is>
      </c>
      <c r="C65" s="5" t="inlineStr">
        <is>
          <t>Isaac TeSlaa</t>
        </is>
      </c>
      <c r="D65" s="3" t="inlineStr">
        <is>
          <t>DET</t>
        </is>
      </c>
      <c r="E65" s="10" t="inlineStr">
        <is>
          <t>WR</t>
        </is>
      </c>
      <c r="F65" s="6" t="n"/>
      <c r="G65" s="6" t="n"/>
      <c r="H65" s="6" t="n">
        <v>3.2</v>
      </c>
      <c r="I65" s="6" t="n"/>
      <c r="J65" s="6" t="n"/>
      <c r="K65" s="6" t="n"/>
      <c r="L65" s="6" t="n"/>
      <c r="M65" s="7">
        <f>F65*Settings!$B$4+G65*Settings!$B$5+H65*Settings!$B$6+I65*Settings!$B$7+J65*Settings!$B$8+K65*Settings!$B$9+L65*Settings!$B$10</f>
        <v/>
      </c>
      <c r="N65" s="8">
        <f>M65-INDEX(Settings!$G$4:$G$9,MATCH($E65,Settings!$F$4:$F$9,0))</f>
        <v/>
      </c>
      <c r="O65" s="7">
        <f>N65*INDEX(Settings!$H$4:$H$9,MATCH($E65,Settings!$F$4:$F$9,0))</f>
        <v/>
      </c>
      <c r="P65" s="3" t="inlineStr">
        <is>
          <t>LOW</t>
        </is>
      </c>
      <c r="Q65" s="5" t="inlineStr"/>
    </row>
    <row r="66">
      <c r="A66" s="3" t="n">
        <v>221</v>
      </c>
      <c r="B66" s="10" t="inlineStr">
        <is>
          <t>WR64</t>
        </is>
      </c>
      <c r="C66" s="5" t="inlineStr">
        <is>
          <t>Jalen Nailor</t>
        </is>
      </c>
      <c r="D66" s="3" t="inlineStr">
        <is>
          <t>LV</t>
        </is>
      </c>
      <c r="E66" s="10" t="inlineStr">
        <is>
          <t>WR</t>
        </is>
      </c>
      <c r="F66" s="6" t="n"/>
      <c r="G66" s="6" t="n">
        <v>0.1</v>
      </c>
      <c r="H66" s="6" t="n">
        <v>3</v>
      </c>
      <c r="I66" s="6" t="n"/>
      <c r="J66" s="6" t="n"/>
      <c r="K66" s="6" t="n"/>
      <c r="L66" s="6" t="n"/>
      <c r="M66" s="7">
        <f>F66*Settings!$B$4+G66*Settings!$B$5+H66*Settings!$B$6+I66*Settings!$B$7+J66*Settings!$B$8+K66*Settings!$B$9+L66*Settings!$B$10</f>
        <v/>
      </c>
      <c r="N66" s="8">
        <f>M66-INDEX(Settings!$G$4:$G$9,MATCH($E66,Settings!$F$4:$F$9,0))</f>
        <v/>
      </c>
      <c r="O66" s="7">
        <f>N66*INDEX(Settings!$H$4:$H$9,MATCH($E66,Settings!$F$4:$F$9,0))</f>
        <v/>
      </c>
      <c r="P66" s="3" t="inlineStr">
        <is>
          <t>LOW</t>
        </is>
      </c>
      <c r="Q66" s="5" t="inlineStr"/>
    </row>
    <row r="67">
      <c r="A67" s="3" t="n">
        <v>222</v>
      </c>
      <c r="B67" s="10" t="inlineStr">
        <is>
          <t>WR65</t>
        </is>
      </c>
      <c r="C67" s="5" t="inlineStr">
        <is>
          <t>Tyquan Thornton</t>
        </is>
      </c>
      <c r="D67" s="3" t="inlineStr">
        <is>
          <t>KC</t>
        </is>
      </c>
      <c r="E67" s="10" t="inlineStr">
        <is>
          <t>WR</t>
        </is>
      </c>
      <c r="F67" s="6" t="n"/>
      <c r="G67" s="6" t="n"/>
      <c r="H67" s="6" t="n">
        <v>3</v>
      </c>
      <c r="I67" s="6" t="n"/>
      <c r="J67" s="6" t="n"/>
      <c r="K67" s="6" t="n"/>
      <c r="L67" s="6" t="n"/>
      <c r="M67" s="7">
        <f>F67*Settings!$B$4+G67*Settings!$B$5+H67*Settings!$B$6+I67*Settings!$B$7+J67*Settings!$B$8+K67*Settings!$B$9+L67*Settings!$B$10</f>
        <v/>
      </c>
      <c r="N67" s="8">
        <f>M67-INDEX(Settings!$G$4:$G$9,MATCH($E67,Settings!$F$4:$F$9,0))</f>
        <v/>
      </c>
      <c r="O67" s="7">
        <f>N67*INDEX(Settings!$H$4:$H$9,MATCH($E67,Settings!$F$4:$F$9,0))</f>
        <v/>
      </c>
      <c r="P67" s="3" t="inlineStr">
        <is>
          <t>LOW</t>
        </is>
      </c>
      <c r="Q67" s="5" t="inlineStr"/>
    </row>
    <row r="68">
      <c r="A68" s="3" t="n">
        <v>223</v>
      </c>
      <c r="B68" s="10" t="inlineStr">
        <is>
          <t>WR66</t>
        </is>
      </c>
      <c r="C68" s="5" t="inlineStr">
        <is>
          <t>Jalen Coker</t>
        </is>
      </c>
      <c r="D68" s="3" t="inlineStr">
        <is>
          <t>CAR</t>
        </is>
      </c>
      <c r="E68" s="10" t="inlineStr">
        <is>
          <t>WR</t>
        </is>
      </c>
      <c r="F68" s="6" t="n"/>
      <c r="G68" s="6" t="n"/>
      <c r="H68" s="6" t="n">
        <v>3</v>
      </c>
      <c r="I68" s="6" t="n"/>
      <c r="J68" s="6" t="n"/>
      <c r="K68" s="6" t="n"/>
      <c r="L68" s="6" t="n"/>
      <c r="M68" s="7">
        <f>F68*Settings!$B$4+G68*Settings!$B$5+H68*Settings!$B$6+I68*Settings!$B$7+J68*Settings!$B$8+K68*Settings!$B$9+L68*Settings!$B$10</f>
        <v/>
      </c>
      <c r="N68" s="8">
        <f>M68-INDEX(Settings!$G$4:$G$9,MATCH($E68,Settings!$F$4:$F$9,0))</f>
        <v/>
      </c>
      <c r="O68" s="7">
        <f>N68*INDEX(Settings!$H$4:$H$9,MATCH($E68,Settings!$F$4:$F$9,0))</f>
        <v/>
      </c>
      <c r="P68" s="3" t="inlineStr">
        <is>
          <t>LOW</t>
        </is>
      </c>
      <c r="Q68" s="5" t="inlineStr"/>
    </row>
    <row r="69">
      <c r="A69" s="3" t="n">
        <v>224</v>
      </c>
      <c r="B69" s="10" t="inlineStr">
        <is>
          <t>WR67</t>
        </is>
      </c>
      <c r="C69" s="5" t="inlineStr">
        <is>
          <t>Denzel Boston</t>
        </is>
      </c>
      <c r="D69" s="3" t="inlineStr">
        <is>
          <t>CLE</t>
        </is>
      </c>
      <c r="E69" s="10" t="inlineStr">
        <is>
          <t>WR</t>
        </is>
      </c>
      <c r="F69" s="6" t="n"/>
      <c r="G69" s="6" t="n"/>
      <c r="H69" s="6" t="n">
        <v>3</v>
      </c>
      <c r="I69" s="6" t="n"/>
      <c r="J69" s="6" t="n"/>
      <c r="K69" s="6" t="n"/>
      <c r="L69" s="6" t="n"/>
      <c r="M69" s="7">
        <f>F69*Settings!$B$4+G69*Settings!$B$5+H69*Settings!$B$6+I69*Settings!$B$7+J69*Settings!$B$8+K69*Settings!$B$9+L69*Settings!$B$10</f>
        <v/>
      </c>
      <c r="N69" s="8">
        <f>M69-INDEX(Settings!$G$4:$G$9,MATCH($E69,Settings!$F$4:$F$9,0))</f>
        <v/>
      </c>
      <c r="O69" s="7">
        <f>N69*INDEX(Settings!$H$4:$H$9,MATCH($E69,Settings!$F$4:$F$9,0))</f>
        <v/>
      </c>
      <c r="P69" s="3" t="inlineStr">
        <is>
          <t>LOW</t>
        </is>
      </c>
      <c r="Q69" s="5" t="inlineStr"/>
    </row>
    <row r="70">
      <c r="A70" s="3" t="n">
        <v>226</v>
      </c>
      <c r="B70" s="10" t="inlineStr">
        <is>
          <t>WR68</t>
        </is>
      </c>
      <c r="C70" s="5" t="inlineStr">
        <is>
          <t>Dontayvion Wicks</t>
        </is>
      </c>
      <c r="D70" s="3" t="inlineStr">
        <is>
          <t>PHI</t>
        </is>
      </c>
      <c r="E70" s="10" t="inlineStr">
        <is>
          <t>WR</t>
        </is>
      </c>
      <c r="F70" s="6" t="n"/>
      <c r="G70" s="6" t="n"/>
      <c r="H70" s="6" t="n">
        <v>2.9</v>
      </c>
      <c r="I70" s="6" t="n"/>
      <c r="J70" s="6" t="n"/>
      <c r="K70" s="6" t="n"/>
      <c r="L70" s="6" t="n"/>
      <c r="M70" s="7">
        <f>F70*Settings!$B$4+G70*Settings!$B$5+H70*Settings!$B$6+I70*Settings!$B$7+J70*Settings!$B$8+K70*Settings!$B$9+L70*Settings!$B$10</f>
        <v/>
      </c>
      <c r="N70" s="8">
        <f>M70-INDEX(Settings!$G$4:$G$9,MATCH($E70,Settings!$F$4:$F$9,0))</f>
        <v/>
      </c>
      <c r="O70" s="7">
        <f>N70*INDEX(Settings!$H$4:$H$9,MATCH($E70,Settings!$F$4:$F$9,0))</f>
        <v/>
      </c>
      <c r="P70" s="3" t="inlineStr">
        <is>
          <t>LOW</t>
        </is>
      </c>
      <c r="Q70" s="5" t="inlineStr"/>
    </row>
    <row r="71">
      <c r="A71" s="3" t="n">
        <v>227</v>
      </c>
      <c r="B71" s="10" t="inlineStr">
        <is>
          <t>WR69</t>
        </is>
      </c>
      <c r="C71" s="5" t="inlineStr">
        <is>
          <t>Germie Bernard</t>
        </is>
      </c>
      <c r="D71" s="3" t="inlineStr">
        <is>
          <t>PIT</t>
        </is>
      </c>
      <c r="E71" s="10" t="inlineStr">
        <is>
          <t>WR</t>
        </is>
      </c>
      <c r="F71" s="6" t="n"/>
      <c r="G71" s="6" t="n">
        <v>0.1</v>
      </c>
      <c r="H71" s="6" t="n">
        <v>2.8</v>
      </c>
      <c r="I71" s="6" t="n"/>
      <c r="J71" s="6" t="n"/>
      <c r="K71" s="6" t="n"/>
      <c r="L71" s="6" t="n"/>
      <c r="M71" s="7">
        <f>F71*Settings!$B$4+G71*Settings!$B$5+H71*Settings!$B$6+I71*Settings!$B$7+J71*Settings!$B$8+K71*Settings!$B$9+L71*Settings!$B$10</f>
        <v/>
      </c>
      <c r="N71" s="8">
        <f>M71-INDEX(Settings!$G$4:$G$9,MATCH($E71,Settings!$F$4:$F$9,0))</f>
        <v/>
      </c>
      <c r="O71" s="7">
        <f>N71*INDEX(Settings!$H$4:$H$9,MATCH($E71,Settings!$F$4:$F$9,0))</f>
        <v/>
      </c>
      <c r="P71" s="3" t="inlineStr">
        <is>
          <t>LOW</t>
        </is>
      </c>
      <c r="Q71" s="5" t="inlineStr"/>
    </row>
    <row r="72">
      <c r="A72" s="3" t="n">
        <v>229</v>
      </c>
      <c r="B72" s="10" t="inlineStr">
        <is>
          <t>WR70</t>
        </is>
      </c>
      <c r="C72" s="5" t="inlineStr">
        <is>
          <t>Ryan Flournoy</t>
        </is>
      </c>
      <c r="D72" s="3" t="inlineStr">
        <is>
          <t>DAL</t>
        </is>
      </c>
      <c r="E72" s="10" t="inlineStr">
        <is>
          <t>WR</t>
        </is>
      </c>
      <c r="F72" s="6" t="n"/>
      <c r="G72" s="6" t="n">
        <v>0.1</v>
      </c>
      <c r="H72" s="6" t="n">
        <v>2.7</v>
      </c>
      <c r="I72" s="6" t="n"/>
      <c r="J72" s="6" t="n"/>
      <c r="K72" s="6" t="n"/>
      <c r="L72" s="6" t="n"/>
      <c r="M72" s="7">
        <f>F72*Settings!$B$4+G72*Settings!$B$5+H72*Settings!$B$6+I72*Settings!$B$7+J72*Settings!$B$8+K72*Settings!$B$9+L72*Settings!$B$10</f>
        <v/>
      </c>
      <c r="N72" s="8">
        <f>M72-INDEX(Settings!$G$4:$G$9,MATCH($E72,Settings!$F$4:$F$9,0))</f>
        <v/>
      </c>
      <c r="O72" s="7">
        <f>N72*INDEX(Settings!$H$4:$H$9,MATCH($E72,Settings!$F$4:$F$9,0))</f>
        <v/>
      </c>
      <c r="P72" s="3" t="inlineStr">
        <is>
          <t>LOW</t>
        </is>
      </c>
      <c r="Q72" s="5" t="inlineStr"/>
    </row>
    <row r="73">
      <c r="A73" s="3" t="n">
        <v>230</v>
      </c>
      <c r="B73" s="10" t="inlineStr">
        <is>
          <t>WR71</t>
        </is>
      </c>
      <c r="C73" s="5" t="inlineStr">
        <is>
          <t>Keon Coleman</t>
        </is>
      </c>
      <c r="D73" s="3" t="inlineStr">
        <is>
          <t>BUF</t>
        </is>
      </c>
      <c r="E73" s="10" t="inlineStr">
        <is>
          <t>WR</t>
        </is>
      </c>
      <c r="F73" s="6" t="n"/>
      <c r="G73" s="6" t="n"/>
      <c r="H73" s="6" t="n">
        <v>2.8</v>
      </c>
      <c r="I73" s="6" t="n"/>
      <c r="J73" s="6" t="n"/>
      <c r="K73" s="6" t="n"/>
      <c r="L73" s="6" t="n"/>
      <c r="M73" s="7">
        <f>F73*Settings!$B$4+G73*Settings!$B$5+H73*Settings!$B$6+I73*Settings!$B$7+J73*Settings!$B$8+K73*Settings!$B$9+L73*Settings!$B$10</f>
        <v/>
      </c>
      <c r="N73" s="8">
        <f>M73-INDEX(Settings!$G$4:$G$9,MATCH($E73,Settings!$F$4:$F$9,0))</f>
        <v/>
      </c>
      <c r="O73" s="7">
        <f>N73*INDEX(Settings!$H$4:$H$9,MATCH($E73,Settings!$F$4:$F$9,0))</f>
        <v/>
      </c>
      <c r="P73" s="3" t="inlineStr">
        <is>
          <t>LOW</t>
        </is>
      </c>
      <c r="Q73" s="5" t="inlineStr"/>
    </row>
    <row r="74">
      <c r="A74" s="3" t="n">
        <v>231</v>
      </c>
      <c r="B74" s="10" t="inlineStr">
        <is>
          <t>WR72</t>
        </is>
      </c>
      <c r="C74" s="5" t="inlineStr">
        <is>
          <t>Tre Tucker</t>
        </is>
      </c>
      <c r="D74" s="3" t="inlineStr">
        <is>
          <t>LV</t>
        </is>
      </c>
      <c r="E74" s="10" t="inlineStr">
        <is>
          <t>WR</t>
        </is>
      </c>
      <c r="F74" s="6" t="n"/>
      <c r="G74" s="6" t="n">
        <v>0.3</v>
      </c>
      <c r="H74" s="6" t="n">
        <v>2.5</v>
      </c>
      <c r="I74" s="6" t="n"/>
      <c r="J74" s="6" t="n"/>
      <c r="K74" s="6" t="n"/>
      <c r="L74" s="6" t="n"/>
      <c r="M74" s="7">
        <f>F74*Settings!$B$4+G74*Settings!$B$5+H74*Settings!$B$6+I74*Settings!$B$7+J74*Settings!$B$8+K74*Settings!$B$9+L74*Settings!$B$10</f>
        <v/>
      </c>
      <c r="N74" s="8">
        <f>M74-INDEX(Settings!$G$4:$G$9,MATCH($E74,Settings!$F$4:$F$9,0))</f>
        <v/>
      </c>
      <c r="O74" s="7">
        <f>N74*INDEX(Settings!$H$4:$H$9,MATCH($E74,Settings!$F$4:$F$9,0))</f>
        <v/>
      </c>
      <c r="P74" s="3" t="inlineStr">
        <is>
          <t>LOW</t>
        </is>
      </c>
      <c r="Q74" s="5" t="inlineStr"/>
    </row>
    <row r="75">
      <c r="A75" s="3" t="n">
        <v>232</v>
      </c>
      <c r="B75" s="10" t="inlineStr">
        <is>
          <t>WR73</t>
        </is>
      </c>
      <c r="C75" s="5" t="inlineStr">
        <is>
          <t>Cooper Kupp</t>
        </is>
      </c>
      <c r="D75" s="3" t="inlineStr">
        <is>
          <t>SEA</t>
        </is>
      </c>
      <c r="E75" s="10" t="inlineStr">
        <is>
          <t>WR</t>
        </is>
      </c>
      <c r="F75" s="6" t="n"/>
      <c r="G75" s="6" t="n"/>
      <c r="H75" s="6" t="n">
        <v>2.8</v>
      </c>
      <c r="I75" s="6" t="n"/>
      <c r="J75" s="6" t="n"/>
      <c r="K75" s="6" t="n"/>
      <c r="L75" s="6" t="n"/>
      <c r="M75" s="7">
        <f>F75*Settings!$B$4+G75*Settings!$B$5+H75*Settings!$B$6+I75*Settings!$B$7+J75*Settings!$B$8+K75*Settings!$B$9+L75*Settings!$B$10</f>
        <v/>
      </c>
      <c r="N75" s="8">
        <f>M75-INDEX(Settings!$G$4:$G$9,MATCH($E75,Settings!$F$4:$F$9,0))</f>
        <v/>
      </c>
      <c r="O75" s="7">
        <f>N75*INDEX(Settings!$H$4:$H$9,MATCH($E75,Settings!$F$4:$F$9,0))</f>
        <v/>
      </c>
      <c r="P75" s="3" t="inlineStr">
        <is>
          <t>LOW</t>
        </is>
      </c>
      <c r="Q75" s="5" t="inlineStr"/>
    </row>
    <row r="76">
      <c r="A76" s="3" t="n">
        <v>233</v>
      </c>
      <c r="B76" s="10" t="inlineStr">
        <is>
          <t>WR74</t>
        </is>
      </c>
      <c r="C76" s="5" t="inlineStr">
        <is>
          <t>Kayshon Boutte</t>
        </is>
      </c>
      <c r="D76" s="3" t="inlineStr">
        <is>
          <t>HOU</t>
        </is>
      </c>
      <c r="E76" s="10" t="inlineStr">
        <is>
          <t>WR</t>
        </is>
      </c>
      <c r="F76" s="6" t="n"/>
      <c r="G76" s="6" t="n"/>
      <c r="H76" s="6" t="n">
        <v>2.8</v>
      </c>
      <c r="I76" s="6" t="n"/>
      <c r="J76" s="6" t="n"/>
      <c r="K76" s="6" t="n"/>
      <c r="L76" s="6" t="n"/>
      <c r="M76" s="7">
        <f>F76*Settings!$B$4+G76*Settings!$B$5+H76*Settings!$B$6+I76*Settings!$B$7+J76*Settings!$B$8+K76*Settings!$B$9+L76*Settings!$B$10</f>
        <v/>
      </c>
      <c r="N76" s="8">
        <f>M76-INDEX(Settings!$G$4:$G$9,MATCH($E76,Settings!$F$4:$F$9,0))</f>
        <v/>
      </c>
      <c r="O76" s="7">
        <f>N76*INDEX(Settings!$H$4:$H$9,MATCH($E76,Settings!$F$4:$F$9,0))</f>
        <v/>
      </c>
      <c r="P76" s="3" t="inlineStr">
        <is>
          <t>LOW</t>
        </is>
      </c>
      <c r="Q76" s="5" t="inlineStr"/>
    </row>
    <row r="77">
      <c r="A77" s="3" t="n">
        <v>236</v>
      </c>
      <c r="B77" s="10" t="inlineStr">
        <is>
          <t>WR75</t>
        </is>
      </c>
      <c r="C77" s="5" t="inlineStr">
        <is>
          <t>Jerry Jeudy</t>
        </is>
      </c>
      <c r="D77" s="3" t="inlineStr">
        <is>
          <t>CLE</t>
        </is>
      </c>
      <c r="E77" s="10" t="inlineStr">
        <is>
          <t>WR</t>
        </is>
      </c>
      <c r="F77" s="6" t="n"/>
      <c r="G77" s="6" t="n"/>
      <c r="H77" s="6" t="n">
        <v>2.7</v>
      </c>
      <c r="I77" s="6" t="n"/>
      <c r="J77" s="6" t="n"/>
      <c r="K77" s="6" t="n"/>
      <c r="L77" s="6" t="n"/>
      <c r="M77" s="7">
        <f>F77*Settings!$B$4+G77*Settings!$B$5+H77*Settings!$B$6+I77*Settings!$B$7+J77*Settings!$B$8+K77*Settings!$B$9+L77*Settings!$B$10</f>
        <v/>
      </c>
      <c r="N77" s="8">
        <f>M77-INDEX(Settings!$G$4:$G$9,MATCH($E77,Settings!$F$4:$F$9,0))</f>
        <v/>
      </c>
      <c r="O77" s="7">
        <f>N77*INDEX(Settings!$H$4:$H$9,MATCH($E77,Settings!$F$4:$F$9,0))</f>
        <v/>
      </c>
      <c r="P77" s="3" t="inlineStr">
        <is>
          <t>LOW</t>
        </is>
      </c>
      <c r="Q77" s="5" t="inlineStr"/>
    </row>
    <row r="78">
      <c r="A78" s="3" t="n">
        <v>237</v>
      </c>
      <c r="B78" s="10" t="inlineStr">
        <is>
          <t>WR76</t>
        </is>
      </c>
      <c r="C78" s="5" t="inlineStr">
        <is>
          <t>Keenan Allen</t>
        </is>
      </c>
      <c r="D78" s="3" t="inlineStr">
        <is>
          <t>IND</t>
        </is>
      </c>
      <c r="E78" s="10" t="inlineStr">
        <is>
          <t>WR</t>
        </is>
      </c>
      <c r="F78" s="6" t="n"/>
      <c r="G78" s="6" t="n"/>
      <c r="H78" s="6" t="n">
        <v>2.7</v>
      </c>
      <c r="I78" s="6" t="n"/>
      <c r="J78" s="6" t="n"/>
      <c r="K78" s="6" t="n"/>
      <c r="L78" s="6" t="n"/>
      <c r="M78" s="7">
        <f>F78*Settings!$B$4+G78*Settings!$B$5+H78*Settings!$B$6+I78*Settings!$B$7+J78*Settings!$B$8+K78*Settings!$B$9+L78*Settings!$B$10</f>
        <v/>
      </c>
      <c r="N78" s="8">
        <f>M78-INDEX(Settings!$G$4:$G$9,MATCH($E78,Settings!$F$4:$F$9,0))</f>
        <v/>
      </c>
      <c r="O78" s="7">
        <f>N78*INDEX(Settings!$H$4:$H$9,MATCH($E78,Settings!$F$4:$F$9,0))</f>
        <v/>
      </c>
      <c r="P78" s="3" t="inlineStr">
        <is>
          <t>LOW</t>
        </is>
      </c>
      <c r="Q78" s="5" t="inlineStr"/>
    </row>
    <row r="79">
      <c r="A79" s="3" t="n">
        <v>238</v>
      </c>
      <c r="B79" s="10" t="inlineStr">
        <is>
          <t>WR77</t>
        </is>
      </c>
      <c r="C79" s="5" t="inlineStr">
        <is>
          <t>Jordyn Tyson</t>
        </is>
      </c>
      <c r="D79" s="3" t="inlineStr">
        <is>
          <t>NO</t>
        </is>
      </c>
      <c r="E79" s="10" t="inlineStr">
        <is>
          <t>WR</t>
        </is>
      </c>
      <c r="F79" s="6" t="n"/>
      <c r="G79" s="6" t="n"/>
      <c r="H79" s="6" t="n">
        <v>2.7</v>
      </c>
      <c r="I79" s="6" t="n"/>
      <c r="J79" s="6" t="n"/>
      <c r="K79" s="6" t="n"/>
      <c r="L79" s="6" t="n"/>
      <c r="M79" s="7">
        <f>F79*Settings!$B$4+G79*Settings!$B$5+H79*Settings!$B$6+I79*Settings!$B$7+J79*Settings!$B$8+K79*Settings!$B$9+L79*Settings!$B$10</f>
        <v/>
      </c>
      <c r="N79" s="8">
        <f>M79-INDEX(Settings!$G$4:$G$9,MATCH($E79,Settings!$F$4:$F$9,0))</f>
        <v/>
      </c>
      <c r="O79" s="7">
        <f>N79*INDEX(Settings!$H$4:$H$9,MATCH($E79,Settings!$F$4:$F$9,0))</f>
        <v/>
      </c>
      <c r="P79" s="3" t="inlineStr">
        <is>
          <t>LOW</t>
        </is>
      </c>
      <c r="Q79" s="5" t="inlineStr"/>
    </row>
    <row r="80">
      <c r="A80" s="3" t="n">
        <v>239</v>
      </c>
      <c r="B80" s="10" t="inlineStr">
        <is>
          <t>WR78</t>
        </is>
      </c>
      <c r="C80" s="5" t="inlineStr">
        <is>
          <t>Xavier Legette</t>
        </is>
      </c>
      <c r="D80" s="3" t="inlineStr">
        <is>
          <t>CAR</t>
        </is>
      </c>
      <c r="E80" s="10" t="inlineStr">
        <is>
          <t>WR</t>
        </is>
      </c>
      <c r="F80" s="6" t="n"/>
      <c r="G80" s="6" t="n">
        <v>0.1</v>
      </c>
      <c r="H80" s="6" t="n">
        <v>2.6</v>
      </c>
      <c r="I80" s="6" t="n"/>
      <c r="J80" s="6" t="n"/>
      <c r="K80" s="6" t="n"/>
      <c r="L80" s="6" t="n"/>
      <c r="M80" s="7">
        <f>F80*Settings!$B$4+G80*Settings!$B$5+H80*Settings!$B$6+I80*Settings!$B$7+J80*Settings!$B$8+K80*Settings!$B$9+L80*Settings!$B$10</f>
        <v/>
      </c>
      <c r="N80" s="8">
        <f>M80-INDEX(Settings!$G$4:$G$9,MATCH($E80,Settings!$F$4:$F$9,0))</f>
        <v/>
      </c>
      <c r="O80" s="7">
        <f>N80*INDEX(Settings!$H$4:$H$9,MATCH($E80,Settings!$F$4:$F$9,0))</f>
        <v/>
      </c>
      <c r="P80" s="3" t="inlineStr">
        <is>
          <t>LOW</t>
        </is>
      </c>
      <c r="Q80" s="5" t="inlineStr"/>
    </row>
    <row r="81">
      <c r="A81" s="3" t="n">
        <v>240</v>
      </c>
      <c r="B81" s="10" t="inlineStr">
        <is>
          <t>WR79</t>
        </is>
      </c>
      <c r="C81" s="5" t="inlineStr">
        <is>
          <t>Jaylin Noel</t>
        </is>
      </c>
      <c r="D81" s="3" t="inlineStr">
        <is>
          <t>HOU</t>
        </is>
      </c>
      <c r="E81" s="10" t="inlineStr">
        <is>
          <t>WR</t>
        </is>
      </c>
      <c r="F81" s="6" t="n"/>
      <c r="G81" s="6" t="n">
        <v>0.1</v>
      </c>
      <c r="H81" s="6" t="n">
        <v>2.5</v>
      </c>
      <c r="I81" s="6" t="n"/>
      <c r="J81" s="6" t="n"/>
      <c r="K81" s="6" t="n"/>
      <c r="L81" s="6" t="n"/>
      <c r="M81" s="7">
        <f>F81*Settings!$B$4+G81*Settings!$B$5+H81*Settings!$B$6+I81*Settings!$B$7+J81*Settings!$B$8+K81*Settings!$B$9+L81*Settings!$B$10</f>
        <v/>
      </c>
      <c r="N81" s="8">
        <f>M81-INDEX(Settings!$G$4:$G$9,MATCH($E81,Settings!$F$4:$F$9,0))</f>
        <v/>
      </c>
      <c r="O81" s="7">
        <f>N81*INDEX(Settings!$H$4:$H$9,MATCH($E81,Settings!$F$4:$F$9,0))</f>
        <v/>
      </c>
      <c r="P81" s="3" t="inlineStr">
        <is>
          <t>LOW</t>
        </is>
      </c>
      <c r="Q81" s="5" t="inlineStr"/>
    </row>
    <row r="82">
      <c r="A82" s="3" t="n">
        <v>241</v>
      </c>
      <c r="B82" s="10" t="inlineStr">
        <is>
          <t>WR80</t>
        </is>
      </c>
      <c r="C82" s="5" t="inlineStr">
        <is>
          <t>Wan'Dale Robinson</t>
        </is>
      </c>
      <c r="D82" s="3" t="inlineStr">
        <is>
          <t>TEN</t>
        </is>
      </c>
      <c r="E82" s="10" t="inlineStr">
        <is>
          <t>WR</t>
        </is>
      </c>
      <c r="F82" s="6" t="n"/>
      <c r="G82" s="6" t="n">
        <v>0.1</v>
      </c>
      <c r="H82" s="6" t="n">
        <v>2.5</v>
      </c>
      <c r="I82" s="6" t="n"/>
      <c r="J82" s="6" t="n"/>
      <c r="K82" s="6" t="n"/>
      <c r="L82" s="6" t="n"/>
      <c r="M82" s="7">
        <f>F82*Settings!$B$4+G82*Settings!$B$5+H82*Settings!$B$6+I82*Settings!$B$7+J82*Settings!$B$8+K82*Settings!$B$9+L82*Settings!$B$10</f>
        <v/>
      </c>
      <c r="N82" s="8">
        <f>M82-INDEX(Settings!$G$4:$G$9,MATCH($E82,Settings!$F$4:$F$9,0))</f>
        <v/>
      </c>
      <c r="O82" s="7">
        <f>N82*INDEX(Settings!$H$4:$H$9,MATCH($E82,Settings!$F$4:$F$9,0))</f>
        <v/>
      </c>
      <c r="P82" s="3" t="inlineStr">
        <is>
          <t>HIGH</t>
        </is>
      </c>
      <c r="Q82" s="5" t="inlineStr"/>
    </row>
    <row r="83">
      <c r="A83" s="3" t="n">
        <v>242</v>
      </c>
      <c r="B83" s="10" t="inlineStr">
        <is>
          <t>WR81</t>
        </is>
      </c>
      <c r="C83" s="5" t="inlineStr">
        <is>
          <t>Tank Dell</t>
        </is>
      </c>
      <c r="D83" s="3" t="inlineStr">
        <is>
          <t>HOU</t>
        </is>
      </c>
      <c r="E83" s="10" t="inlineStr">
        <is>
          <t>WR</t>
        </is>
      </c>
      <c r="F83" s="6" t="n"/>
      <c r="G83" s="6" t="n">
        <v>0.2</v>
      </c>
      <c r="H83" s="6" t="n">
        <v>2.4</v>
      </c>
      <c r="I83" s="6" t="n"/>
      <c r="J83" s="6" t="n"/>
      <c r="K83" s="6" t="n"/>
      <c r="L83" s="6" t="n"/>
      <c r="M83" s="7">
        <f>F83*Settings!$B$4+G83*Settings!$B$5+H83*Settings!$B$6+I83*Settings!$B$7+J83*Settings!$B$8+K83*Settings!$B$9+L83*Settings!$B$10</f>
        <v/>
      </c>
      <c r="N83" s="8">
        <f>M83-INDEX(Settings!$G$4:$G$9,MATCH($E83,Settings!$F$4:$F$9,0))</f>
        <v/>
      </c>
      <c r="O83" s="7">
        <f>N83*INDEX(Settings!$H$4:$H$9,MATCH($E83,Settings!$F$4:$F$9,0))</f>
        <v/>
      </c>
      <c r="P83" s="3" t="inlineStr">
        <is>
          <t>LOW</t>
        </is>
      </c>
      <c r="Q83" s="5" t="inlineStr"/>
    </row>
    <row r="84">
      <c r="A84" s="3" t="n">
        <v>243</v>
      </c>
      <c r="B84" s="10" t="inlineStr">
        <is>
          <t>WR82</t>
        </is>
      </c>
      <c r="C84" s="5" t="inlineStr">
        <is>
          <t>Tre' Harris</t>
        </is>
      </c>
      <c r="D84" s="3" t="inlineStr">
        <is>
          <t>LAC</t>
        </is>
      </c>
      <c r="E84" s="10" t="inlineStr">
        <is>
          <t>WR</t>
        </is>
      </c>
      <c r="F84" s="6" t="n"/>
      <c r="G84" s="6" t="n"/>
      <c r="H84" s="6" t="n">
        <v>2.5</v>
      </c>
      <c r="I84" s="6" t="n"/>
      <c r="J84" s="6" t="n"/>
      <c r="K84" s="6" t="n"/>
      <c r="L84" s="6" t="n"/>
      <c r="M84" s="7">
        <f>F84*Settings!$B$4+G84*Settings!$B$5+H84*Settings!$B$6+I84*Settings!$B$7+J84*Settings!$B$8+K84*Settings!$B$9+L84*Settings!$B$10</f>
        <v/>
      </c>
      <c r="N84" s="8">
        <f>M84-INDEX(Settings!$G$4:$G$9,MATCH($E84,Settings!$F$4:$F$9,0))</f>
        <v/>
      </c>
      <c r="O84" s="7">
        <f>N84*INDEX(Settings!$H$4:$H$9,MATCH($E84,Settings!$F$4:$F$9,0))</f>
        <v/>
      </c>
      <c r="P84" s="3" t="inlineStr">
        <is>
          <t>LOW</t>
        </is>
      </c>
      <c r="Q84" s="5" t="inlineStr"/>
    </row>
    <row r="85">
      <c r="A85" s="3" t="n">
        <v>244</v>
      </c>
      <c r="B85" s="10" t="inlineStr">
        <is>
          <t>WR83</t>
        </is>
      </c>
      <c r="C85" s="5" t="inlineStr">
        <is>
          <t>Antonio Williams</t>
        </is>
      </c>
      <c r="D85" s="3" t="inlineStr">
        <is>
          <t>WAS</t>
        </is>
      </c>
      <c r="E85" s="10" t="inlineStr">
        <is>
          <t>WR</t>
        </is>
      </c>
      <c r="F85" s="6" t="n"/>
      <c r="G85" s="6" t="n">
        <v>0.2</v>
      </c>
      <c r="H85" s="6" t="n">
        <v>2.3</v>
      </c>
      <c r="I85" s="6" t="n"/>
      <c r="J85" s="6" t="n"/>
      <c r="K85" s="6" t="n"/>
      <c r="L85" s="6" t="n"/>
      <c r="M85" s="7">
        <f>F85*Settings!$B$4+G85*Settings!$B$5+H85*Settings!$B$6+I85*Settings!$B$7+J85*Settings!$B$8+K85*Settings!$B$9+L85*Settings!$B$10</f>
        <v/>
      </c>
      <c r="N85" s="8">
        <f>M85-INDEX(Settings!$G$4:$G$9,MATCH($E85,Settings!$F$4:$F$9,0))</f>
        <v/>
      </c>
      <c r="O85" s="7">
        <f>N85*INDEX(Settings!$H$4:$H$9,MATCH($E85,Settings!$F$4:$F$9,0))</f>
        <v/>
      </c>
      <c r="P85" s="3" t="inlineStr">
        <is>
          <t>LOW</t>
        </is>
      </c>
      <c r="Q85" s="5" t="inlineStr"/>
    </row>
    <row r="86">
      <c r="A86" s="3" t="n">
        <v>246</v>
      </c>
      <c r="B86" s="10" t="inlineStr">
        <is>
          <t>WR84</t>
        </is>
      </c>
      <c r="C86" s="5" t="inlineStr">
        <is>
          <t>Omar Cooper Jr.</t>
        </is>
      </c>
      <c r="D86" s="3" t="inlineStr">
        <is>
          <t>NYJ</t>
        </is>
      </c>
      <c r="E86" s="10" t="inlineStr">
        <is>
          <t>WR</t>
        </is>
      </c>
      <c r="F86" s="6" t="n"/>
      <c r="G86" s="6" t="n">
        <v>0.1</v>
      </c>
      <c r="H86" s="6" t="n">
        <v>2.2</v>
      </c>
      <c r="I86" s="6" t="n"/>
      <c r="J86" s="6" t="n"/>
      <c r="K86" s="6" t="n"/>
      <c r="L86" s="6" t="n"/>
      <c r="M86" s="7">
        <f>F86*Settings!$B$4+G86*Settings!$B$5+H86*Settings!$B$6+I86*Settings!$B$7+J86*Settings!$B$8+K86*Settings!$B$9+L86*Settings!$B$10</f>
        <v/>
      </c>
      <c r="N86" s="8">
        <f>M86-INDEX(Settings!$G$4:$G$9,MATCH($E86,Settings!$F$4:$F$9,0))</f>
        <v/>
      </c>
      <c r="O86" s="7">
        <f>N86*INDEX(Settings!$H$4:$H$9,MATCH($E86,Settings!$F$4:$F$9,0))</f>
        <v/>
      </c>
      <c r="P86" s="3" t="inlineStr">
        <is>
          <t>LOW</t>
        </is>
      </c>
      <c r="Q86" s="5" t="inlineStr"/>
    </row>
    <row r="87">
      <c r="A87" s="3" t="n">
        <v>247</v>
      </c>
      <c r="B87" s="10" t="inlineStr">
        <is>
          <t>WR85</t>
        </is>
      </c>
      <c r="C87" s="5" t="inlineStr">
        <is>
          <t>Jahan Dotson</t>
        </is>
      </c>
      <c r="D87" s="3" t="inlineStr">
        <is>
          <t>ATL</t>
        </is>
      </c>
      <c r="E87" s="10" t="inlineStr">
        <is>
          <t>WR</t>
        </is>
      </c>
      <c r="F87" s="6" t="n"/>
      <c r="G87" s="6" t="n"/>
      <c r="H87" s="6" t="n">
        <v>2.3</v>
      </c>
      <c r="I87" s="6" t="n"/>
      <c r="J87" s="6" t="n"/>
      <c r="K87" s="6" t="n"/>
      <c r="L87" s="6" t="n"/>
      <c r="M87" s="7">
        <f>F87*Settings!$B$4+G87*Settings!$B$5+H87*Settings!$B$6+I87*Settings!$B$7+J87*Settings!$B$8+K87*Settings!$B$9+L87*Settings!$B$10</f>
        <v/>
      </c>
      <c r="N87" s="8">
        <f>M87-INDEX(Settings!$G$4:$G$9,MATCH($E87,Settings!$F$4:$F$9,0))</f>
        <v/>
      </c>
      <c r="O87" s="7">
        <f>N87*INDEX(Settings!$H$4:$H$9,MATCH($E87,Settings!$F$4:$F$9,0))</f>
        <v/>
      </c>
      <c r="P87" s="3" t="inlineStr">
        <is>
          <t>LOW</t>
        </is>
      </c>
      <c r="Q87" s="5" t="inlineStr"/>
    </row>
  </sheetData>
  <autoFilter ref="A2:Q87"/>
  <mergeCells count="1">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5" customWidth="1" min="4" max="4"/>
    <col width="5" customWidth="1" min="5" max="5"/>
    <col width="8" customWidth="1" min="6" max="6"/>
    <col width="8" customWidth="1" min="7" max="7"/>
    <col width="8" customWidth="1" min="8" max="8"/>
    <col width="6" customWidth="1" min="9" max="9"/>
    <col width="6" customWidth="1" min="10" max="10"/>
    <col width="7" customWidth="1" min="11" max="11"/>
    <col width="6" customWidth="1" min="12" max="12"/>
    <col width="9" customWidth="1" min="13" max="13"/>
    <col width="8" customWidth="1" min="14" max="14"/>
    <col width="9" customWidth="1" min="15" max="15"/>
    <col width="8" customWidth="1" min="16" max="16"/>
    <col width="62" customWidth="1" min="17" max="17"/>
  </cols>
  <sheetData>
    <row r="1" ht="20" customHeight="1">
      <c r="A1" s="1" t="inlineStr">
        <is>
          <t>TE — ranked by projected points</t>
        </is>
      </c>
    </row>
    <row r="2" ht="26" customHeight="1">
      <c r="A2" s="2" t="inlineStr">
        <is>
          <t>Rank</t>
        </is>
      </c>
      <c r="B2" s="2" t="inlineStr">
        <is>
          <t>Pos</t>
        </is>
      </c>
      <c r="C2" s="2" t="inlineStr">
        <is>
          <t>Player</t>
        </is>
      </c>
      <c r="D2" s="2" t="inlineStr">
        <is>
          <t>Tm</t>
        </is>
      </c>
      <c r="E2" s="2" t="inlineStr">
        <is>
          <t>P</t>
        </is>
      </c>
      <c r="F2" s="2" t="inlineStr">
        <is>
          <t>PassTD</t>
        </is>
      </c>
      <c r="G2" s="2" t="inlineStr">
        <is>
          <t>RushTD</t>
        </is>
      </c>
      <c r="H2" s="2" t="inlineStr">
        <is>
          <t>RecTD</t>
        </is>
      </c>
      <c r="I2" s="2" t="inlineStr">
        <is>
          <t>FG</t>
        </is>
      </c>
      <c r="J2" s="2" t="inlineStr">
        <is>
          <t>PAT</t>
        </is>
      </c>
      <c r="K2" s="2" t="inlineStr">
        <is>
          <t>DefTD</t>
        </is>
      </c>
      <c r="L2" s="2" t="inlineStr">
        <is>
          <t>Saf</t>
        </is>
      </c>
      <c r="M2" s="2" t="inlineStr">
        <is>
          <t>Points</t>
        </is>
      </c>
      <c r="N2" s="2" t="inlineStr">
        <is>
          <t>VOR</t>
        </is>
      </c>
      <c r="O2" s="2" t="inlineStr">
        <is>
          <t>Adj VOR</t>
        </is>
      </c>
      <c r="P2" s="2" t="inlineStr">
        <is>
          <t>Conf</t>
        </is>
      </c>
      <c r="Q2" s="2" t="inlineStr">
        <is>
          <t>Notes</t>
        </is>
      </c>
    </row>
    <row r="3">
      <c r="A3" s="3" t="n">
        <v>21</v>
      </c>
      <c r="B3" s="12" t="inlineStr">
        <is>
          <t>TE1</t>
        </is>
      </c>
      <c r="C3" s="5" t="inlineStr">
        <is>
          <t>Brock Bowers</t>
        </is>
      </c>
      <c r="D3" s="3" t="inlineStr">
        <is>
          <t>LV</t>
        </is>
      </c>
      <c r="E3" s="12" t="inlineStr">
        <is>
          <t>TE</t>
        </is>
      </c>
      <c r="F3" s="6" t="n"/>
      <c r="G3" s="6" t="n">
        <v>0.1</v>
      </c>
      <c r="H3" s="6" t="n">
        <v>6.8</v>
      </c>
      <c r="I3" s="6" t="n"/>
      <c r="J3" s="6" t="n"/>
      <c r="K3" s="6" t="n"/>
      <c r="L3" s="6" t="n"/>
      <c r="M3" s="7">
        <f>F3*Settings!$B$4+G3*Settings!$B$5+H3*Settings!$B$6+I3*Settings!$B$7+J3*Settings!$B$8+K3*Settings!$B$9+L3*Settings!$B$10</f>
        <v/>
      </c>
      <c r="N3" s="8">
        <f>M3-INDEX(Settings!$G$4:$G$9,MATCH($E3,Settings!$F$4:$F$9,0))</f>
        <v/>
      </c>
      <c r="O3" s="7">
        <f>N3*INDEX(Settings!$H$4:$H$9,MATCH($E3,Settings!$F$4:$F$9,0))</f>
        <v/>
      </c>
      <c r="P3" s="3" t="inlineStr">
        <is>
          <t>HIGH</t>
        </is>
      </c>
      <c r="Q3" s="5" t="inlineStr"/>
    </row>
    <row r="4">
      <c r="A4" s="3" t="n">
        <v>22</v>
      </c>
      <c r="B4" s="12" t="inlineStr">
        <is>
          <t>TE2</t>
        </is>
      </c>
      <c r="C4" s="5" t="inlineStr">
        <is>
          <t>Mark Andrews</t>
        </is>
      </c>
      <c r="D4" s="3" t="inlineStr">
        <is>
          <t>BAL</t>
        </is>
      </c>
      <c r="E4" s="12" t="inlineStr">
        <is>
          <t>TE</t>
        </is>
      </c>
      <c r="F4" s="6" t="n"/>
      <c r="G4" s="6" t="n">
        <v>0.3</v>
      </c>
      <c r="H4" s="6" t="n">
        <v>6.5</v>
      </c>
      <c r="I4" s="6" t="n"/>
      <c r="J4" s="6" t="n"/>
      <c r="K4" s="6" t="n"/>
      <c r="L4" s="6" t="n"/>
      <c r="M4" s="7">
        <f>F4*Settings!$B$4+G4*Settings!$B$5+H4*Settings!$B$6+I4*Settings!$B$7+J4*Settings!$B$8+K4*Settings!$B$9+L4*Settings!$B$10</f>
        <v/>
      </c>
      <c r="N4" s="8">
        <f>M4-INDEX(Settings!$G$4:$G$9,MATCH($E4,Settings!$F$4:$F$9,0))</f>
        <v/>
      </c>
      <c r="O4" s="7">
        <f>N4*INDEX(Settings!$H$4:$H$9,MATCH($E4,Settings!$F$4:$F$9,0))</f>
        <v/>
      </c>
      <c r="P4" s="3" t="inlineStr">
        <is>
          <t>HIGH</t>
        </is>
      </c>
      <c r="Q4" s="5" t="inlineStr"/>
    </row>
    <row r="5">
      <c r="A5" s="3" t="n">
        <v>32</v>
      </c>
      <c r="B5" s="12" t="inlineStr">
        <is>
          <t>TE3</t>
        </is>
      </c>
      <c r="C5" s="5" t="inlineStr">
        <is>
          <t>Trey McBride</t>
        </is>
      </c>
      <c r="D5" s="3" t="inlineStr">
        <is>
          <t>ARI</t>
        </is>
      </c>
      <c r="E5" s="12" t="inlineStr">
        <is>
          <t>TE</t>
        </is>
      </c>
      <c r="F5" s="6" t="n"/>
      <c r="G5" s="6" t="n"/>
      <c r="H5" s="6" t="n">
        <v>6.2</v>
      </c>
      <c r="I5" s="6" t="n"/>
      <c r="J5" s="6" t="n"/>
      <c r="K5" s="6" t="n"/>
      <c r="L5" s="6" t="n"/>
      <c r="M5" s="7">
        <f>F5*Settings!$B$4+G5*Settings!$B$5+H5*Settings!$B$6+I5*Settings!$B$7+J5*Settings!$B$8+K5*Settings!$B$9+L5*Settings!$B$10</f>
        <v/>
      </c>
      <c r="N5" s="8">
        <f>M5-INDEX(Settings!$G$4:$G$9,MATCH($E5,Settings!$F$4:$F$9,0))</f>
        <v/>
      </c>
      <c r="O5" s="7">
        <f>N5*INDEX(Settings!$H$4:$H$9,MATCH($E5,Settings!$F$4:$F$9,0))</f>
        <v/>
      </c>
      <c r="P5" s="3" t="inlineStr">
        <is>
          <t>HIGH</t>
        </is>
      </c>
      <c r="Q5" s="5" t="inlineStr"/>
    </row>
    <row r="6">
      <c r="A6" s="3" t="n">
        <v>35</v>
      </c>
      <c r="B6" s="12" t="inlineStr">
        <is>
          <t>TE4</t>
        </is>
      </c>
      <c r="C6" s="5" t="inlineStr">
        <is>
          <t>Colston Loveland</t>
        </is>
      </c>
      <c r="D6" s="3" t="inlineStr">
        <is>
          <t>CHI</t>
        </is>
      </c>
      <c r="E6" s="12" t="inlineStr">
        <is>
          <t>TE</t>
        </is>
      </c>
      <c r="F6" s="6" t="n"/>
      <c r="G6" s="6" t="n"/>
      <c r="H6" s="6" t="n">
        <v>6</v>
      </c>
      <c r="I6" s="6" t="n"/>
      <c r="J6" s="6" t="n"/>
      <c r="K6" s="6" t="n"/>
      <c r="L6" s="6" t="n"/>
      <c r="M6" s="7">
        <f>F6*Settings!$B$4+G6*Settings!$B$5+H6*Settings!$B$6+I6*Settings!$B$7+J6*Settings!$B$8+K6*Settings!$B$9+L6*Settings!$B$10</f>
        <v/>
      </c>
      <c r="N6" s="8">
        <f>M6-INDEX(Settings!$G$4:$G$9,MATCH($E6,Settings!$F$4:$F$9,0))</f>
        <v/>
      </c>
      <c r="O6" s="7">
        <f>N6*INDEX(Settings!$H$4:$H$9,MATCH($E6,Settings!$F$4:$F$9,0))</f>
        <v/>
      </c>
      <c r="P6" s="3" t="inlineStr">
        <is>
          <t>HIGH</t>
        </is>
      </c>
      <c r="Q6" s="5" t="inlineStr"/>
    </row>
    <row r="7">
      <c r="A7" s="3" t="n">
        <v>38</v>
      </c>
      <c r="B7" s="12" t="inlineStr">
        <is>
          <t>TE5</t>
        </is>
      </c>
      <c r="C7" s="5" t="inlineStr">
        <is>
          <t>Dallas Goedert</t>
        </is>
      </c>
      <c r="D7" s="3" t="inlineStr">
        <is>
          <t>PHI</t>
        </is>
      </c>
      <c r="E7" s="12" t="inlineStr">
        <is>
          <t>TE</t>
        </is>
      </c>
      <c r="F7" s="6" t="n"/>
      <c r="G7" s="6" t="n"/>
      <c r="H7" s="6" t="n">
        <v>5.8</v>
      </c>
      <c r="I7" s="6" t="n"/>
      <c r="J7" s="6" t="n"/>
      <c r="K7" s="6" t="n"/>
      <c r="L7" s="6" t="n"/>
      <c r="M7" s="7">
        <f>F7*Settings!$B$4+G7*Settings!$B$5+H7*Settings!$B$6+I7*Settings!$B$7+J7*Settings!$B$8+K7*Settings!$B$9+L7*Settings!$B$10</f>
        <v/>
      </c>
      <c r="N7" s="8">
        <f>M7-INDEX(Settings!$G$4:$G$9,MATCH($E7,Settings!$F$4:$F$9,0))</f>
        <v/>
      </c>
      <c r="O7" s="7">
        <f>N7*INDEX(Settings!$H$4:$H$9,MATCH($E7,Settings!$F$4:$F$9,0))</f>
        <v/>
      </c>
      <c r="P7" s="3" t="inlineStr">
        <is>
          <t>HIGH</t>
        </is>
      </c>
      <c r="Q7" s="5" t="inlineStr"/>
    </row>
    <row r="8">
      <c r="A8" s="3" t="n">
        <v>46</v>
      </c>
      <c r="B8" s="12" t="inlineStr">
        <is>
          <t>TE6</t>
        </is>
      </c>
      <c r="C8" s="5" t="inlineStr">
        <is>
          <t>Jake Ferguson</t>
        </is>
      </c>
      <c r="D8" s="3" t="inlineStr">
        <is>
          <t>DAL</t>
        </is>
      </c>
      <c r="E8" s="12" t="inlineStr">
        <is>
          <t>TE</t>
        </is>
      </c>
      <c r="F8" s="6" t="n"/>
      <c r="G8" s="6" t="n"/>
      <c r="H8" s="6" t="n">
        <v>5.5</v>
      </c>
      <c r="I8" s="6" t="n"/>
      <c r="J8" s="6" t="n"/>
      <c r="K8" s="6" t="n"/>
      <c r="L8" s="6" t="n"/>
      <c r="M8" s="7">
        <f>F8*Settings!$B$4+G8*Settings!$B$5+H8*Settings!$B$6+I8*Settings!$B$7+J8*Settings!$B$8+K8*Settings!$B$9+L8*Settings!$B$10</f>
        <v/>
      </c>
      <c r="N8" s="8">
        <f>M8-INDEX(Settings!$G$4:$G$9,MATCH($E8,Settings!$F$4:$F$9,0))</f>
        <v/>
      </c>
      <c r="O8" s="7">
        <f>N8*INDEX(Settings!$H$4:$H$9,MATCH($E8,Settings!$F$4:$F$9,0))</f>
        <v/>
      </c>
      <c r="P8" s="3" t="inlineStr">
        <is>
          <t>HIGH</t>
        </is>
      </c>
      <c r="Q8" s="5" t="inlineStr"/>
    </row>
    <row r="9">
      <c r="A9" s="3" t="n">
        <v>51</v>
      </c>
      <c r="B9" s="12" t="inlineStr">
        <is>
          <t>TE7</t>
        </is>
      </c>
      <c r="C9" s="5" t="inlineStr">
        <is>
          <t>Tyler Warren</t>
        </is>
      </c>
      <c r="D9" s="3" t="inlineStr">
        <is>
          <t>IND</t>
        </is>
      </c>
      <c r="E9" s="12" t="inlineStr">
        <is>
          <t>TE</t>
        </is>
      </c>
      <c r="F9" s="6" t="n"/>
      <c r="G9" s="6" t="n">
        <v>0.2</v>
      </c>
      <c r="H9" s="6" t="n">
        <v>5.2</v>
      </c>
      <c r="I9" s="6" t="n"/>
      <c r="J9" s="6" t="n"/>
      <c r="K9" s="6" t="n"/>
      <c r="L9" s="6" t="n"/>
      <c r="M9" s="7">
        <f>F9*Settings!$B$4+G9*Settings!$B$5+H9*Settings!$B$6+I9*Settings!$B$7+J9*Settings!$B$8+K9*Settings!$B$9+L9*Settings!$B$10</f>
        <v/>
      </c>
      <c r="N9" s="8">
        <f>M9-INDEX(Settings!$G$4:$G$9,MATCH($E9,Settings!$F$4:$F$9,0))</f>
        <v/>
      </c>
      <c r="O9" s="7">
        <f>N9*INDEX(Settings!$H$4:$H$9,MATCH($E9,Settings!$F$4:$F$9,0))</f>
        <v/>
      </c>
      <c r="P9" s="3" t="inlineStr">
        <is>
          <t>HIGH</t>
        </is>
      </c>
      <c r="Q9" s="5" t="inlineStr"/>
    </row>
    <row r="10">
      <c r="A10" s="3" t="n">
        <v>56</v>
      </c>
      <c r="B10" s="12" t="inlineStr">
        <is>
          <t>TE8</t>
        </is>
      </c>
      <c r="C10" s="5" t="inlineStr">
        <is>
          <t>George Kittle</t>
        </is>
      </c>
      <c r="D10" s="3" t="inlineStr">
        <is>
          <t>SF</t>
        </is>
      </c>
      <c r="E10" s="12" t="inlineStr">
        <is>
          <t>TE</t>
        </is>
      </c>
      <c r="F10" s="6" t="n"/>
      <c r="G10" s="6" t="n"/>
      <c r="H10" s="6" t="n">
        <v>5.3</v>
      </c>
      <c r="I10" s="6" t="n"/>
      <c r="J10" s="6" t="n"/>
      <c r="K10" s="6" t="n"/>
      <c r="L10" s="6" t="n"/>
      <c r="M10" s="7">
        <f>F10*Settings!$B$4+G10*Settings!$B$5+H10*Settings!$B$6+I10*Settings!$B$7+J10*Settings!$B$8+K10*Settings!$B$9+L10*Settings!$B$10</f>
        <v/>
      </c>
      <c r="N10" s="8">
        <f>M10-INDEX(Settings!$G$4:$G$9,MATCH($E10,Settings!$F$4:$F$9,0))</f>
        <v/>
      </c>
      <c r="O10" s="7">
        <f>N10*INDEX(Settings!$H$4:$H$9,MATCH($E10,Settings!$F$4:$F$9,0))</f>
        <v/>
      </c>
      <c r="P10" s="3" t="inlineStr">
        <is>
          <t>HIGH</t>
        </is>
      </c>
      <c r="Q10" s="5" t="inlineStr"/>
    </row>
    <row r="11">
      <c r="A11" s="3" t="n">
        <v>65</v>
      </c>
      <c r="B11" s="12" t="inlineStr">
        <is>
          <t>TE9</t>
        </is>
      </c>
      <c r="C11" s="5" t="inlineStr">
        <is>
          <t>Hunter Henry</t>
        </is>
      </c>
      <c r="D11" s="3" t="inlineStr">
        <is>
          <t>NE</t>
        </is>
      </c>
      <c r="E11" s="12" t="inlineStr">
        <is>
          <t>TE</t>
        </is>
      </c>
      <c r="F11" s="6" t="n"/>
      <c r="G11" s="6" t="n"/>
      <c r="H11" s="6" t="n">
        <v>5.2</v>
      </c>
      <c r="I11" s="6" t="n"/>
      <c r="J11" s="6" t="n"/>
      <c r="K11" s="6" t="n"/>
      <c r="L11" s="6" t="n"/>
      <c r="M11" s="7">
        <f>F11*Settings!$B$4+G11*Settings!$B$5+H11*Settings!$B$6+I11*Settings!$B$7+J11*Settings!$B$8+K11*Settings!$B$9+L11*Settings!$B$10</f>
        <v/>
      </c>
      <c r="N11" s="8">
        <f>M11-INDEX(Settings!$G$4:$G$9,MATCH($E11,Settings!$F$4:$F$9,0))</f>
        <v/>
      </c>
      <c r="O11" s="7">
        <f>N11*INDEX(Settings!$H$4:$H$9,MATCH($E11,Settings!$F$4:$F$9,0))</f>
        <v/>
      </c>
      <c r="P11" s="3" t="inlineStr">
        <is>
          <t>HIGH</t>
        </is>
      </c>
      <c r="Q11" s="5" t="inlineStr"/>
    </row>
    <row r="12">
      <c r="A12" s="3" t="n">
        <v>66</v>
      </c>
      <c r="B12" s="12" t="inlineStr">
        <is>
          <t>TE10</t>
        </is>
      </c>
      <c r="C12" s="5" t="inlineStr">
        <is>
          <t>Terrance Ferguson</t>
        </is>
      </c>
      <c r="D12" s="3" t="inlineStr">
        <is>
          <t>LAR</t>
        </is>
      </c>
      <c r="E12" s="12" t="inlineStr">
        <is>
          <t>TE</t>
        </is>
      </c>
      <c r="F12" s="6" t="n"/>
      <c r="G12" s="6" t="n"/>
      <c r="H12" s="6" t="n">
        <v>5.2</v>
      </c>
      <c r="I12" s="6" t="n"/>
      <c r="J12" s="6" t="n"/>
      <c r="K12" s="6" t="n"/>
      <c r="L12" s="6" t="n"/>
      <c r="M12" s="7">
        <f>F12*Settings!$B$4+G12*Settings!$B$5+H12*Settings!$B$6+I12*Settings!$B$7+J12*Settings!$B$8+K12*Settings!$B$9+L12*Settings!$B$10</f>
        <v/>
      </c>
      <c r="N12" s="8">
        <f>M12-INDEX(Settings!$G$4:$G$9,MATCH($E12,Settings!$F$4:$F$9,0))</f>
        <v/>
      </c>
      <c r="O12" s="7">
        <f>N12*INDEX(Settings!$H$4:$H$9,MATCH($E12,Settings!$F$4:$F$9,0))</f>
        <v/>
      </c>
      <c r="P12" s="3" t="inlineStr">
        <is>
          <t>HIGH</t>
        </is>
      </c>
      <c r="Q12" s="5" t="inlineStr"/>
    </row>
    <row r="13">
      <c r="A13" s="3" t="n">
        <v>67</v>
      </c>
      <c r="B13" s="12" t="inlineStr">
        <is>
          <t>TE11</t>
        </is>
      </c>
      <c r="C13" s="5" t="inlineStr">
        <is>
          <t>Sam LaPorta</t>
        </is>
      </c>
      <c r="D13" s="3" t="inlineStr">
        <is>
          <t>DET</t>
        </is>
      </c>
      <c r="E13" s="12" t="inlineStr">
        <is>
          <t>TE</t>
        </is>
      </c>
      <c r="F13" s="6" t="n"/>
      <c r="G13" s="6" t="n"/>
      <c r="H13" s="6" t="n">
        <v>5.2</v>
      </c>
      <c r="I13" s="6" t="n"/>
      <c r="J13" s="6" t="n"/>
      <c r="K13" s="6" t="n"/>
      <c r="L13" s="6" t="n"/>
      <c r="M13" s="7">
        <f>F13*Settings!$B$4+G13*Settings!$B$5+H13*Settings!$B$6+I13*Settings!$B$7+J13*Settings!$B$8+K13*Settings!$B$9+L13*Settings!$B$10</f>
        <v/>
      </c>
      <c r="N13" s="8">
        <f>M13-INDEX(Settings!$G$4:$G$9,MATCH($E13,Settings!$F$4:$F$9,0))</f>
        <v/>
      </c>
      <c r="O13" s="7">
        <f>N13*INDEX(Settings!$H$4:$H$9,MATCH($E13,Settings!$F$4:$F$9,0))</f>
        <v/>
      </c>
      <c r="P13" s="3" t="inlineStr">
        <is>
          <t>HIGH</t>
        </is>
      </c>
      <c r="Q13" s="5" t="inlineStr"/>
    </row>
    <row r="14">
      <c r="A14" s="3" t="n">
        <v>77</v>
      </c>
      <c r="B14" s="12" t="inlineStr">
        <is>
          <t>TE12</t>
        </is>
      </c>
      <c r="C14" s="5" t="inlineStr">
        <is>
          <t>Tucker Kraft</t>
        </is>
      </c>
      <c r="D14" s="3" t="inlineStr">
        <is>
          <t>GB</t>
        </is>
      </c>
      <c r="E14" s="12" t="inlineStr">
        <is>
          <t>TE</t>
        </is>
      </c>
      <c r="F14" s="6" t="n"/>
      <c r="G14" s="6" t="n">
        <v>0.1</v>
      </c>
      <c r="H14" s="6" t="n">
        <v>4.7</v>
      </c>
      <c r="I14" s="6" t="n"/>
      <c r="J14" s="6" t="n"/>
      <c r="K14" s="6" t="n"/>
      <c r="L14" s="6" t="n"/>
      <c r="M14" s="7">
        <f>F14*Settings!$B$4+G14*Settings!$B$5+H14*Settings!$B$6+I14*Settings!$B$7+J14*Settings!$B$8+K14*Settings!$B$9+L14*Settings!$B$10</f>
        <v/>
      </c>
      <c r="N14" s="8">
        <f>M14-INDEX(Settings!$G$4:$G$9,MATCH($E14,Settings!$F$4:$F$9,0))</f>
        <v/>
      </c>
      <c r="O14" s="7">
        <f>N14*INDEX(Settings!$H$4:$H$9,MATCH($E14,Settings!$F$4:$F$9,0))</f>
        <v/>
      </c>
      <c r="P14" s="3" t="inlineStr">
        <is>
          <t>HIGH</t>
        </is>
      </c>
      <c r="Q14" s="5" t="inlineStr"/>
    </row>
    <row r="15">
      <c r="A15" s="3" t="n">
        <v>80</v>
      </c>
      <c r="B15" s="12" t="inlineStr">
        <is>
          <t>TE13</t>
        </is>
      </c>
      <c r="C15" s="5" t="inlineStr">
        <is>
          <t>Dalton Kincaid</t>
        </is>
      </c>
      <c r="D15" s="3" t="inlineStr">
        <is>
          <t>BUF</t>
        </is>
      </c>
      <c r="E15" s="12" t="inlineStr">
        <is>
          <t>TE</t>
        </is>
      </c>
      <c r="F15" s="6" t="n"/>
      <c r="G15" s="6" t="n"/>
      <c r="H15" s="6" t="n">
        <v>4.7</v>
      </c>
      <c r="I15" s="6" t="n"/>
      <c r="J15" s="6" t="n"/>
      <c r="K15" s="6" t="n"/>
      <c r="L15" s="6" t="n"/>
      <c r="M15" s="7">
        <f>F15*Settings!$B$4+G15*Settings!$B$5+H15*Settings!$B$6+I15*Settings!$B$7+J15*Settings!$B$8+K15*Settings!$B$9+L15*Settings!$B$10</f>
        <v/>
      </c>
      <c r="N15" s="8">
        <f>M15-INDEX(Settings!$G$4:$G$9,MATCH($E15,Settings!$F$4:$F$9,0))</f>
        <v/>
      </c>
      <c r="O15" s="7">
        <f>N15*INDEX(Settings!$H$4:$H$9,MATCH($E15,Settings!$F$4:$F$9,0))</f>
        <v/>
      </c>
      <c r="P15" s="3" t="inlineStr">
        <is>
          <t>HIGH</t>
        </is>
      </c>
      <c r="Q15" s="5" t="inlineStr"/>
    </row>
    <row r="16">
      <c r="A16" s="3" t="n">
        <v>111</v>
      </c>
      <c r="B16" s="12" t="inlineStr">
        <is>
          <t>TE14</t>
        </is>
      </c>
      <c r="C16" s="5" t="inlineStr">
        <is>
          <t>Travis Kelce</t>
        </is>
      </c>
      <c r="D16" s="3" t="inlineStr">
        <is>
          <t>KC</t>
        </is>
      </c>
      <c r="E16" s="12" t="inlineStr">
        <is>
          <t>TE</t>
        </is>
      </c>
      <c r="F16" s="6" t="n"/>
      <c r="G16" s="6" t="n"/>
      <c r="H16" s="6" t="n">
        <v>4.2</v>
      </c>
      <c r="I16" s="6" t="n"/>
      <c r="J16" s="6" t="n"/>
      <c r="K16" s="6" t="n"/>
      <c r="L16" s="6" t="n"/>
      <c r="M16" s="7">
        <f>F16*Settings!$B$4+G16*Settings!$B$5+H16*Settings!$B$6+I16*Settings!$B$7+J16*Settings!$B$8+K16*Settings!$B$9+L16*Settings!$B$10</f>
        <v/>
      </c>
      <c r="N16" s="8">
        <f>M16-INDEX(Settings!$G$4:$G$9,MATCH($E16,Settings!$F$4:$F$9,0))</f>
        <v/>
      </c>
      <c r="O16" s="7">
        <f>N16*INDEX(Settings!$H$4:$H$9,MATCH($E16,Settings!$F$4:$F$9,0))</f>
        <v/>
      </c>
      <c r="P16" s="3" t="inlineStr">
        <is>
          <t>HIGH</t>
        </is>
      </c>
      <c r="Q16" s="5" t="inlineStr"/>
    </row>
    <row r="17">
      <c r="A17" s="3" t="n">
        <v>112</v>
      </c>
      <c r="B17" s="12" t="inlineStr">
        <is>
          <t>TE15</t>
        </is>
      </c>
      <c r="C17" s="5" t="inlineStr">
        <is>
          <t>Harold Fannin Jr.</t>
        </is>
      </c>
      <c r="D17" s="3" t="inlineStr">
        <is>
          <t>CLE</t>
        </is>
      </c>
      <c r="E17" s="12" t="inlineStr">
        <is>
          <t>TE</t>
        </is>
      </c>
      <c r="F17" s="6" t="n"/>
      <c r="G17" s="6" t="n">
        <v>0.1</v>
      </c>
      <c r="H17" s="6" t="n">
        <v>4.1</v>
      </c>
      <c r="I17" s="6" t="n"/>
      <c r="J17" s="6" t="n"/>
      <c r="K17" s="6" t="n"/>
      <c r="L17" s="6" t="n"/>
      <c r="M17" s="7">
        <f>F17*Settings!$B$4+G17*Settings!$B$5+H17*Settings!$B$6+I17*Settings!$B$7+J17*Settings!$B$8+K17*Settings!$B$9+L17*Settings!$B$10</f>
        <v/>
      </c>
      <c r="N17" s="8">
        <f>M17-INDEX(Settings!$G$4:$G$9,MATCH($E17,Settings!$F$4:$F$9,0))</f>
        <v/>
      </c>
      <c r="O17" s="7">
        <f>N17*INDEX(Settings!$H$4:$H$9,MATCH($E17,Settings!$F$4:$F$9,0))</f>
        <v/>
      </c>
      <c r="P17" s="3" t="inlineStr">
        <is>
          <t>HIGH</t>
        </is>
      </c>
      <c r="Q17" s="5" t="inlineStr"/>
    </row>
    <row r="18">
      <c r="A18" s="3" t="n">
        <v>135</v>
      </c>
      <c r="B18" s="12" t="inlineStr">
        <is>
          <t>TE16</t>
        </is>
      </c>
      <c r="C18" s="5" t="inlineStr">
        <is>
          <t>AJ Barner</t>
        </is>
      </c>
      <c r="D18" s="3" t="inlineStr">
        <is>
          <t>SEA</t>
        </is>
      </c>
      <c r="E18" s="12" t="inlineStr">
        <is>
          <t>TE</t>
        </is>
      </c>
      <c r="F18" s="6" t="n"/>
      <c r="G18" s="6" t="n">
        <v>0.2</v>
      </c>
      <c r="H18" s="6" t="n">
        <v>3.8</v>
      </c>
      <c r="I18" s="6" t="n"/>
      <c r="J18" s="6" t="n"/>
      <c r="K18" s="6" t="n"/>
      <c r="L18" s="6" t="n"/>
      <c r="M18" s="7">
        <f>F18*Settings!$B$4+G18*Settings!$B$5+H18*Settings!$B$6+I18*Settings!$B$7+J18*Settings!$B$8+K18*Settings!$B$9+L18*Settings!$B$10</f>
        <v/>
      </c>
      <c r="N18" s="8">
        <f>M18-INDEX(Settings!$G$4:$G$9,MATCH($E18,Settings!$F$4:$F$9,0))</f>
        <v/>
      </c>
      <c r="O18" s="7">
        <f>N18*INDEX(Settings!$H$4:$H$9,MATCH($E18,Settings!$F$4:$F$9,0))</f>
        <v/>
      </c>
      <c r="P18" s="3" t="inlineStr">
        <is>
          <t>HIGH</t>
        </is>
      </c>
      <c r="Q18" s="5" t="inlineStr"/>
    </row>
    <row r="19">
      <c r="A19" s="3" t="n">
        <v>136</v>
      </c>
      <c r="B19" s="12" t="inlineStr">
        <is>
          <t>TE17</t>
        </is>
      </c>
      <c r="C19" s="5" t="inlineStr">
        <is>
          <t>Brenton Strange</t>
        </is>
      </c>
      <c r="D19" s="3" t="inlineStr">
        <is>
          <t>JAX</t>
        </is>
      </c>
      <c r="E19" s="12" t="inlineStr">
        <is>
          <t>TE</t>
        </is>
      </c>
      <c r="F19" s="6" t="n"/>
      <c r="G19" s="6" t="n"/>
      <c r="H19" s="6" t="n">
        <v>4</v>
      </c>
      <c r="I19" s="6" t="n"/>
      <c r="J19" s="6" t="n"/>
      <c r="K19" s="6" t="n"/>
      <c r="L19" s="6" t="n"/>
      <c r="M19" s="7">
        <f>F19*Settings!$B$4+G19*Settings!$B$5+H19*Settings!$B$6+I19*Settings!$B$7+J19*Settings!$B$8+K19*Settings!$B$9+L19*Settings!$B$10</f>
        <v/>
      </c>
      <c r="N19" s="8">
        <f>M19-INDEX(Settings!$G$4:$G$9,MATCH($E19,Settings!$F$4:$F$9,0))</f>
        <v/>
      </c>
      <c r="O19" s="7">
        <f>N19*INDEX(Settings!$H$4:$H$9,MATCH($E19,Settings!$F$4:$F$9,0))</f>
        <v/>
      </c>
      <c r="P19" s="3" t="inlineStr">
        <is>
          <t>HIGH</t>
        </is>
      </c>
      <c r="Q19" s="5" t="inlineStr"/>
    </row>
    <row r="20">
      <c r="A20" s="3" t="n">
        <v>137</v>
      </c>
      <c r="B20" s="12" t="inlineStr">
        <is>
          <t>TE18</t>
        </is>
      </c>
      <c r="C20" s="5" t="inlineStr">
        <is>
          <t>Darren Waller</t>
        </is>
      </c>
      <c r="D20" s="3" t="inlineStr">
        <is>
          <t>CAR</t>
        </is>
      </c>
      <c r="E20" s="12" t="inlineStr">
        <is>
          <t>TE</t>
        </is>
      </c>
      <c r="F20" s="6" t="n"/>
      <c r="G20" s="6" t="n"/>
      <c r="H20" s="6" t="n">
        <v>4</v>
      </c>
      <c r="I20" s="6" t="n"/>
      <c r="J20" s="6" t="n"/>
      <c r="K20" s="6" t="n"/>
      <c r="L20" s="6" t="n"/>
      <c r="M20" s="7">
        <f>F20*Settings!$B$4+G20*Settings!$B$5+H20*Settings!$B$6+I20*Settings!$B$7+J20*Settings!$B$8+K20*Settings!$B$9+L20*Settings!$B$10</f>
        <v/>
      </c>
      <c r="N20" s="8">
        <f>M20-INDEX(Settings!$G$4:$G$9,MATCH($E20,Settings!$F$4:$F$9,0))</f>
        <v/>
      </c>
      <c r="O20" s="7">
        <f>N20*INDEX(Settings!$H$4:$H$9,MATCH($E20,Settings!$F$4:$F$9,0))</f>
        <v/>
      </c>
      <c r="P20" s="3" t="inlineStr">
        <is>
          <t>HIGH</t>
        </is>
      </c>
      <c r="Q20" s="5" t="inlineStr"/>
    </row>
    <row r="21">
      <c r="A21" s="3" t="n">
        <v>138</v>
      </c>
      <c r="B21" s="12" t="inlineStr">
        <is>
          <t>TE19</t>
        </is>
      </c>
      <c r="C21" s="5" t="inlineStr">
        <is>
          <t>Isaiah Likely</t>
        </is>
      </c>
      <c r="D21" s="3" t="inlineStr">
        <is>
          <t>NYG</t>
        </is>
      </c>
      <c r="E21" s="12" t="inlineStr">
        <is>
          <t>TE</t>
        </is>
      </c>
      <c r="F21" s="6" t="n"/>
      <c r="G21" s="6" t="n"/>
      <c r="H21" s="6" t="n">
        <v>4</v>
      </c>
      <c r="I21" s="6" t="n"/>
      <c r="J21" s="6" t="n"/>
      <c r="K21" s="6" t="n"/>
      <c r="L21" s="6" t="n"/>
      <c r="M21" s="7">
        <f>F21*Settings!$B$4+G21*Settings!$B$5+H21*Settings!$B$6+I21*Settings!$B$7+J21*Settings!$B$8+K21*Settings!$B$9+L21*Settings!$B$10</f>
        <v/>
      </c>
      <c r="N21" s="8">
        <f>M21-INDEX(Settings!$G$4:$G$9,MATCH($E21,Settings!$F$4:$F$9,0))</f>
        <v/>
      </c>
      <c r="O21" s="7">
        <f>N21*INDEX(Settings!$H$4:$H$9,MATCH($E21,Settings!$F$4:$F$9,0))</f>
        <v/>
      </c>
      <c r="P21" s="3" t="inlineStr">
        <is>
          <t>HIGH</t>
        </is>
      </c>
      <c r="Q21" s="5" t="inlineStr"/>
    </row>
    <row r="22">
      <c r="A22" s="3" t="n">
        <v>143</v>
      </c>
      <c r="B22" s="12" t="inlineStr">
        <is>
          <t>TE20</t>
        </is>
      </c>
      <c r="C22" s="5" t="inlineStr">
        <is>
          <t>Mike Gesicki</t>
        </is>
      </c>
      <c r="D22" s="3" t="inlineStr">
        <is>
          <t>CIN</t>
        </is>
      </c>
      <c r="E22" s="12" t="inlineStr">
        <is>
          <t>TE</t>
        </is>
      </c>
      <c r="F22" s="6" t="n"/>
      <c r="G22" s="6" t="n"/>
      <c r="H22" s="6" t="n">
        <v>3.9</v>
      </c>
      <c r="I22" s="6" t="n"/>
      <c r="J22" s="6" t="n"/>
      <c r="K22" s="6" t="n"/>
      <c r="L22" s="6" t="n"/>
      <c r="M22" s="7">
        <f>F22*Settings!$B$4+G22*Settings!$B$5+H22*Settings!$B$6+I22*Settings!$B$7+J22*Settings!$B$8+K22*Settings!$B$9+L22*Settings!$B$10</f>
        <v/>
      </c>
      <c r="N22" s="8">
        <f>M22-INDEX(Settings!$G$4:$G$9,MATCH($E22,Settings!$F$4:$F$9,0))</f>
        <v/>
      </c>
      <c r="O22" s="7">
        <f>N22*INDEX(Settings!$H$4:$H$9,MATCH($E22,Settings!$F$4:$F$9,0))</f>
        <v/>
      </c>
      <c r="P22" s="3" t="inlineStr">
        <is>
          <t>HIGH</t>
        </is>
      </c>
      <c r="Q22" s="5" t="inlineStr"/>
    </row>
    <row r="23">
      <c r="A23" s="3" t="n">
        <v>144</v>
      </c>
      <c r="B23" s="12" t="inlineStr">
        <is>
          <t>TE21</t>
        </is>
      </c>
      <c r="C23" s="5" t="inlineStr">
        <is>
          <t>Pat Freiermuth</t>
        </is>
      </c>
      <c r="D23" s="3" t="inlineStr">
        <is>
          <t>PIT</t>
        </is>
      </c>
      <c r="E23" s="12" t="inlineStr">
        <is>
          <t>TE</t>
        </is>
      </c>
      <c r="F23" s="6" t="n"/>
      <c r="G23" s="6" t="n"/>
      <c r="H23" s="6" t="n">
        <v>3.9</v>
      </c>
      <c r="I23" s="6" t="n"/>
      <c r="J23" s="6" t="n"/>
      <c r="K23" s="6" t="n"/>
      <c r="L23" s="6" t="n"/>
      <c r="M23" s="7">
        <f>F23*Settings!$B$4+G23*Settings!$B$5+H23*Settings!$B$6+I23*Settings!$B$7+J23*Settings!$B$8+K23*Settings!$B$9+L23*Settings!$B$10</f>
        <v/>
      </c>
      <c r="N23" s="8">
        <f>M23-INDEX(Settings!$G$4:$G$9,MATCH($E23,Settings!$F$4:$F$9,0))</f>
        <v/>
      </c>
      <c r="O23" s="7">
        <f>N23*INDEX(Settings!$H$4:$H$9,MATCH($E23,Settings!$F$4:$F$9,0))</f>
        <v/>
      </c>
      <c r="P23" s="3" t="inlineStr">
        <is>
          <t>MEDIUM</t>
        </is>
      </c>
      <c r="Q23" s="5" t="inlineStr"/>
    </row>
    <row r="24">
      <c r="A24" s="3" t="n">
        <v>150</v>
      </c>
      <c r="B24" s="12" t="inlineStr">
        <is>
          <t>TE22</t>
        </is>
      </c>
      <c r="C24" s="5" t="inlineStr">
        <is>
          <t>Kyle Pitts</t>
        </is>
      </c>
      <c r="D24" s="3" t="inlineStr">
        <is>
          <t>ATL</t>
        </is>
      </c>
      <c r="E24" s="12" t="inlineStr">
        <is>
          <t>TE</t>
        </is>
      </c>
      <c r="F24" s="6" t="n"/>
      <c r="G24" s="6" t="n"/>
      <c r="H24" s="6" t="n">
        <v>3.6</v>
      </c>
      <c r="I24" s="6" t="n"/>
      <c r="J24" s="6" t="n"/>
      <c r="K24" s="6" t="n"/>
      <c r="L24" s="6" t="n"/>
      <c r="M24" s="7">
        <f>F24*Settings!$B$4+G24*Settings!$B$5+H24*Settings!$B$6+I24*Settings!$B$7+J24*Settings!$B$8+K24*Settings!$B$9+L24*Settings!$B$10</f>
        <v/>
      </c>
      <c r="N24" s="8">
        <f>M24-INDEX(Settings!$G$4:$G$9,MATCH($E24,Settings!$F$4:$F$9,0))</f>
        <v/>
      </c>
      <c r="O24" s="7">
        <f>N24*INDEX(Settings!$H$4:$H$9,MATCH($E24,Settings!$F$4:$F$9,0))</f>
        <v/>
      </c>
      <c r="P24" s="3" t="inlineStr">
        <is>
          <t>HIGH</t>
        </is>
      </c>
      <c r="Q24" s="5" t="inlineStr"/>
    </row>
    <row r="25">
      <c r="A25" s="3" t="n">
        <v>152</v>
      </c>
      <c r="B25" s="12" t="inlineStr">
        <is>
          <t>TE23</t>
        </is>
      </c>
      <c r="C25" s="5" t="inlineStr">
        <is>
          <t>David Njoku</t>
        </is>
      </c>
      <c r="D25" s="3" t="inlineStr">
        <is>
          <t>LAC</t>
        </is>
      </c>
      <c r="E25" s="12" t="inlineStr">
        <is>
          <t>TE</t>
        </is>
      </c>
      <c r="F25" s="6" t="n"/>
      <c r="G25" s="6" t="n"/>
      <c r="H25" s="6" t="n">
        <v>3.5</v>
      </c>
      <c r="I25" s="6" t="n"/>
      <c r="J25" s="6" t="n"/>
      <c r="K25" s="6" t="n"/>
      <c r="L25" s="6" t="n"/>
      <c r="M25" s="7">
        <f>F25*Settings!$B$4+G25*Settings!$B$5+H25*Settings!$B$6+I25*Settings!$B$7+J25*Settings!$B$8+K25*Settings!$B$9+L25*Settings!$B$10</f>
        <v/>
      </c>
      <c r="N25" s="8">
        <f>M25-INDEX(Settings!$G$4:$G$9,MATCH($E25,Settings!$F$4:$F$9,0))</f>
        <v/>
      </c>
      <c r="O25" s="7">
        <f>N25*INDEX(Settings!$H$4:$H$9,MATCH($E25,Settings!$F$4:$F$9,0))</f>
        <v/>
      </c>
      <c r="P25" s="3" t="inlineStr">
        <is>
          <t>HIGH</t>
        </is>
      </c>
      <c r="Q25" s="5" t="inlineStr"/>
    </row>
    <row r="26">
      <c r="A26" s="3" t="n">
        <v>165</v>
      </c>
      <c r="B26" s="12" t="inlineStr">
        <is>
          <t>TE24</t>
        </is>
      </c>
      <c r="C26" s="5" t="inlineStr">
        <is>
          <t>Gunnar Helm</t>
        </is>
      </c>
      <c r="D26" s="3" t="inlineStr">
        <is>
          <t>TEN</t>
        </is>
      </c>
      <c r="E26" s="12" t="inlineStr">
        <is>
          <t>TE</t>
        </is>
      </c>
      <c r="F26" s="6" t="n"/>
      <c r="G26" s="6" t="n"/>
      <c r="H26" s="6" t="n">
        <v>3.1</v>
      </c>
      <c r="I26" s="6" t="n"/>
      <c r="J26" s="6" t="n"/>
      <c r="K26" s="6" t="n"/>
      <c r="L26" s="6" t="n"/>
      <c r="M26" s="7">
        <f>F26*Settings!$B$4+G26*Settings!$B$5+H26*Settings!$B$6+I26*Settings!$B$7+J26*Settings!$B$8+K26*Settings!$B$9+L26*Settings!$B$10</f>
        <v/>
      </c>
      <c r="N26" s="8">
        <f>M26-INDEX(Settings!$G$4:$G$9,MATCH($E26,Settings!$F$4:$F$9,0))</f>
        <v/>
      </c>
      <c r="O26" s="7">
        <f>N26*INDEX(Settings!$H$4:$H$9,MATCH($E26,Settings!$F$4:$F$9,0))</f>
        <v/>
      </c>
      <c r="P26" s="3" t="inlineStr">
        <is>
          <t>HIGH</t>
        </is>
      </c>
      <c r="Q26" s="5" t="inlineStr"/>
    </row>
    <row r="27">
      <c r="A27" s="3" t="n">
        <v>170</v>
      </c>
      <c r="B27" s="12" t="inlineStr">
        <is>
          <t>TE25</t>
        </is>
      </c>
      <c r="C27" s="5" t="inlineStr">
        <is>
          <t>Chigoziem Okonkwo</t>
        </is>
      </c>
      <c r="D27" s="3" t="inlineStr">
        <is>
          <t>WAS</t>
        </is>
      </c>
      <c r="E27" s="12" t="inlineStr">
        <is>
          <t>TE</t>
        </is>
      </c>
      <c r="F27" s="6" t="n"/>
      <c r="G27" s="6" t="n"/>
      <c r="H27" s="6" t="n">
        <v>3</v>
      </c>
      <c r="I27" s="6" t="n"/>
      <c r="J27" s="6" t="n"/>
      <c r="K27" s="6" t="n"/>
      <c r="L27" s="6" t="n"/>
      <c r="M27" s="7">
        <f>F27*Settings!$B$4+G27*Settings!$B$5+H27*Settings!$B$6+I27*Settings!$B$7+J27*Settings!$B$8+K27*Settings!$B$9+L27*Settings!$B$10</f>
        <v/>
      </c>
      <c r="N27" s="8">
        <f>M27-INDEX(Settings!$G$4:$G$9,MATCH($E27,Settings!$F$4:$F$9,0))</f>
        <v/>
      </c>
      <c r="O27" s="7">
        <f>N27*INDEX(Settings!$H$4:$H$9,MATCH($E27,Settings!$F$4:$F$9,0))</f>
        <v/>
      </c>
      <c r="P27" s="3" t="inlineStr">
        <is>
          <t>LOW</t>
        </is>
      </c>
      <c r="Q27" s="5" t="inlineStr"/>
    </row>
    <row r="28">
      <c r="A28" s="3" t="n">
        <v>171</v>
      </c>
      <c r="B28" s="12" t="inlineStr">
        <is>
          <t>TE26</t>
        </is>
      </c>
      <c r="C28" s="5" t="inlineStr">
        <is>
          <t>Kenyon Sadiq</t>
        </is>
      </c>
      <c r="D28" s="3" t="inlineStr">
        <is>
          <t>NYJ</t>
        </is>
      </c>
      <c r="E28" s="12" t="inlineStr">
        <is>
          <t>TE</t>
        </is>
      </c>
      <c r="F28" s="6" t="n"/>
      <c r="G28" s="6" t="n"/>
      <c r="H28" s="6" t="n">
        <v>3</v>
      </c>
      <c r="I28" s="6" t="n"/>
      <c r="J28" s="6" t="n"/>
      <c r="K28" s="6" t="n"/>
      <c r="L28" s="6" t="n"/>
      <c r="M28" s="7">
        <f>F28*Settings!$B$4+G28*Settings!$B$5+H28*Settings!$B$6+I28*Settings!$B$7+J28*Settings!$B$8+K28*Settings!$B$9+L28*Settings!$B$10</f>
        <v/>
      </c>
      <c r="N28" s="8">
        <f>M28-INDEX(Settings!$G$4:$G$9,MATCH($E28,Settings!$F$4:$F$9,0))</f>
        <v/>
      </c>
      <c r="O28" s="7">
        <f>N28*INDEX(Settings!$H$4:$H$9,MATCH($E28,Settings!$F$4:$F$9,0))</f>
        <v/>
      </c>
      <c r="P28" s="3" t="inlineStr">
        <is>
          <t>HIGH</t>
        </is>
      </c>
      <c r="Q28" s="5" t="inlineStr"/>
    </row>
    <row r="29">
      <c r="A29" s="3" t="n">
        <v>172</v>
      </c>
      <c r="B29" s="12" t="inlineStr">
        <is>
          <t>TE27</t>
        </is>
      </c>
      <c r="C29" s="5" t="inlineStr">
        <is>
          <t>Dalton Schultz</t>
        </is>
      </c>
      <c r="D29" s="3" t="inlineStr">
        <is>
          <t>HOU</t>
        </is>
      </c>
      <c r="E29" s="12" t="inlineStr">
        <is>
          <t>TE</t>
        </is>
      </c>
      <c r="F29" s="6" t="n"/>
      <c r="G29" s="6" t="n"/>
      <c r="H29" s="6" t="n">
        <v>3</v>
      </c>
      <c r="I29" s="6" t="n"/>
      <c r="J29" s="6" t="n"/>
      <c r="K29" s="6" t="n"/>
      <c r="L29" s="6" t="n"/>
      <c r="M29" s="7">
        <f>F29*Settings!$B$4+G29*Settings!$B$5+H29*Settings!$B$6+I29*Settings!$B$7+J29*Settings!$B$8+K29*Settings!$B$9+L29*Settings!$B$10</f>
        <v/>
      </c>
      <c r="N29" s="8">
        <f>M29-INDEX(Settings!$G$4:$G$9,MATCH($E29,Settings!$F$4:$F$9,0))</f>
        <v/>
      </c>
      <c r="O29" s="7">
        <f>N29*INDEX(Settings!$H$4:$H$9,MATCH($E29,Settings!$F$4:$F$9,0))</f>
        <v/>
      </c>
      <c r="P29" s="3" t="inlineStr">
        <is>
          <t>HIGH</t>
        </is>
      </c>
      <c r="Q29" s="5" t="inlineStr"/>
    </row>
    <row r="30">
      <c r="A30" s="3" t="n">
        <v>173</v>
      </c>
      <c r="B30" s="12" t="inlineStr">
        <is>
          <t>TE28</t>
        </is>
      </c>
      <c r="C30" s="5" t="inlineStr">
        <is>
          <t>Colby Parkinson</t>
        </is>
      </c>
      <c r="D30" s="3" t="inlineStr">
        <is>
          <t>LAR</t>
        </is>
      </c>
      <c r="E30" s="12" t="inlineStr">
        <is>
          <t>TE</t>
        </is>
      </c>
      <c r="F30" s="6" t="n"/>
      <c r="G30" s="6" t="n"/>
      <c r="H30" s="6" t="n">
        <v>3</v>
      </c>
      <c r="I30" s="6" t="n"/>
      <c r="J30" s="6" t="n"/>
      <c r="K30" s="6" t="n"/>
      <c r="L30" s="6" t="n"/>
      <c r="M30" s="7">
        <f>F30*Settings!$B$4+G30*Settings!$B$5+H30*Settings!$B$6+I30*Settings!$B$7+J30*Settings!$B$8+K30*Settings!$B$9+L30*Settings!$B$10</f>
        <v/>
      </c>
      <c r="N30" s="8">
        <f>M30-INDEX(Settings!$G$4:$G$9,MATCH($E30,Settings!$F$4:$F$9,0))</f>
        <v/>
      </c>
      <c r="O30" s="7">
        <f>N30*INDEX(Settings!$H$4:$H$9,MATCH($E30,Settings!$F$4:$F$9,0))</f>
        <v/>
      </c>
      <c r="P30" s="3" t="inlineStr">
        <is>
          <t>HIGH</t>
        </is>
      </c>
      <c r="Q30" s="5" t="inlineStr"/>
    </row>
    <row r="31">
      <c r="A31" s="3" t="n">
        <v>180</v>
      </c>
      <c r="B31" s="12" t="inlineStr">
        <is>
          <t>TE29</t>
        </is>
      </c>
      <c r="C31" s="5" t="inlineStr">
        <is>
          <t>Greg Dulcich</t>
        </is>
      </c>
      <c r="D31" s="3" t="inlineStr">
        <is>
          <t>MIA</t>
        </is>
      </c>
      <c r="E31" s="12" t="inlineStr">
        <is>
          <t>TE</t>
        </is>
      </c>
      <c r="F31" s="6" t="n"/>
      <c r="G31" s="6" t="n"/>
      <c r="H31" s="6" t="n">
        <v>2.9</v>
      </c>
      <c r="I31" s="6" t="n"/>
      <c r="J31" s="6" t="n"/>
      <c r="K31" s="6" t="n"/>
      <c r="L31" s="6" t="n"/>
      <c r="M31" s="7">
        <f>F31*Settings!$B$4+G31*Settings!$B$5+H31*Settings!$B$6+I31*Settings!$B$7+J31*Settings!$B$8+K31*Settings!$B$9+L31*Settings!$B$10</f>
        <v/>
      </c>
      <c r="N31" s="8">
        <f>M31-INDEX(Settings!$G$4:$G$9,MATCH($E31,Settings!$F$4:$F$9,0))</f>
        <v/>
      </c>
      <c r="O31" s="7">
        <f>N31*INDEX(Settings!$H$4:$H$9,MATCH($E31,Settings!$F$4:$F$9,0))</f>
        <v/>
      </c>
      <c r="P31" s="3" t="inlineStr">
        <is>
          <t>MEDIUM</t>
        </is>
      </c>
      <c r="Q31" s="5" t="inlineStr"/>
    </row>
    <row r="32">
      <c r="A32" s="3" t="n">
        <v>181</v>
      </c>
      <c r="B32" s="12" t="inlineStr">
        <is>
          <t>TE30</t>
        </is>
      </c>
      <c r="C32" s="5" t="inlineStr">
        <is>
          <t>Juwan Johnson</t>
        </is>
      </c>
      <c r="D32" s="3" t="inlineStr">
        <is>
          <t>NO</t>
        </is>
      </c>
      <c r="E32" s="12" t="inlineStr">
        <is>
          <t>TE</t>
        </is>
      </c>
      <c r="F32" s="6" t="n"/>
      <c r="G32" s="6" t="n"/>
      <c r="H32" s="6" t="n">
        <v>2.9</v>
      </c>
      <c r="I32" s="6" t="n"/>
      <c r="J32" s="6" t="n"/>
      <c r="K32" s="6" t="n"/>
      <c r="L32" s="6" t="n"/>
      <c r="M32" s="7">
        <f>F32*Settings!$B$4+G32*Settings!$B$5+H32*Settings!$B$6+I32*Settings!$B$7+J32*Settings!$B$8+K32*Settings!$B$9+L32*Settings!$B$10</f>
        <v/>
      </c>
      <c r="N32" s="8">
        <f>M32-INDEX(Settings!$G$4:$G$9,MATCH($E32,Settings!$F$4:$F$9,0))</f>
        <v/>
      </c>
      <c r="O32" s="7">
        <f>N32*INDEX(Settings!$H$4:$H$9,MATCH($E32,Settings!$F$4:$F$9,0))</f>
        <v/>
      </c>
      <c r="P32" s="3" t="inlineStr">
        <is>
          <t>HIGH</t>
        </is>
      </c>
      <c r="Q32" s="5" t="inlineStr"/>
    </row>
    <row r="33">
      <c r="A33" s="3" t="n">
        <v>182</v>
      </c>
      <c r="B33" s="12" t="inlineStr">
        <is>
          <t>TE31</t>
        </is>
      </c>
      <c r="C33" s="5" t="inlineStr">
        <is>
          <t>T.J. Hockenson</t>
        </is>
      </c>
      <c r="D33" s="3" t="inlineStr">
        <is>
          <t>MIN</t>
        </is>
      </c>
      <c r="E33" s="12" t="inlineStr">
        <is>
          <t>TE</t>
        </is>
      </c>
      <c r="F33" s="6" t="n"/>
      <c r="G33" s="6" t="n"/>
      <c r="H33" s="6" t="n">
        <v>2.9</v>
      </c>
      <c r="I33" s="6" t="n"/>
      <c r="J33" s="6" t="n"/>
      <c r="K33" s="6" t="n"/>
      <c r="L33" s="6" t="n"/>
      <c r="M33" s="7">
        <f>F33*Settings!$B$4+G33*Settings!$B$5+H33*Settings!$B$6+I33*Settings!$B$7+J33*Settings!$B$8+K33*Settings!$B$9+L33*Settings!$B$10</f>
        <v/>
      </c>
      <c r="N33" s="8">
        <f>M33-INDEX(Settings!$G$4:$G$9,MATCH($E33,Settings!$F$4:$F$9,0))</f>
        <v/>
      </c>
      <c r="O33" s="7">
        <f>N33*INDEX(Settings!$H$4:$H$9,MATCH($E33,Settings!$F$4:$F$9,0))</f>
        <v/>
      </c>
      <c r="P33" s="3" t="inlineStr">
        <is>
          <t>HIGH</t>
        </is>
      </c>
      <c r="Q33" s="5" t="inlineStr"/>
    </row>
    <row r="34">
      <c r="A34" s="3" t="n">
        <v>183</v>
      </c>
      <c r="B34" s="12" t="inlineStr">
        <is>
          <t>TE32</t>
        </is>
      </c>
      <c r="C34" s="5" t="inlineStr">
        <is>
          <t>Dawson Knox</t>
        </is>
      </c>
      <c r="D34" s="3" t="inlineStr">
        <is>
          <t>BUF</t>
        </is>
      </c>
      <c r="E34" s="12" t="inlineStr">
        <is>
          <t>TE</t>
        </is>
      </c>
      <c r="F34" s="6" t="n"/>
      <c r="G34" s="6" t="n"/>
      <c r="H34" s="6" t="n">
        <v>2.9</v>
      </c>
      <c r="I34" s="6" t="n"/>
      <c r="J34" s="6" t="n"/>
      <c r="K34" s="6" t="n"/>
      <c r="L34" s="6" t="n"/>
      <c r="M34" s="7">
        <f>F34*Settings!$B$4+G34*Settings!$B$5+H34*Settings!$B$6+I34*Settings!$B$7+J34*Settings!$B$8+K34*Settings!$B$9+L34*Settings!$B$10</f>
        <v/>
      </c>
      <c r="N34" s="8">
        <f>M34-INDEX(Settings!$G$4:$G$9,MATCH($E34,Settings!$F$4:$F$9,0))</f>
        <v/>
      </c>
      <c r="O34" s="7">
        <f>N34*INDEX(Settings!$H$4:$H$9,MATCH($E34,Settings!$F$4:$F$9,0))</f>
        <v/>
      </c>
      <c r="P34" s="3" t="inlineStr">
        <is>
          <t>HIGH</t>
        </is>
      </c>
      <c r="Q34" s="5" t="inlineStr"/>
    </row>
  </sheetData>
  <autoFilter ref="A2:Q34"/>
  <mergeCells count="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5" customWidth="1" min="4" max="4"/>
    <col width="5" customWidth="1" min="5" max="5"/>
    <col width="8" customWidth="1" min="6" max="6"/>
    <col width="8" customWidth="1" min="7" max="7"/>
    <col width="8" customWidth="1" min="8" max="8"/>
    <col width="6" customWidth="1" min="9" max="9"/>
    <col width="6" customWidth="1" min="10" max="10"/>
    <col width="7" customWidth="1" min="11" max="11"/>
    <col width="6" customWidth="1" min="12" max="12"/>
    <col width="9" customWidth="1" min="13" max="13"/>
    <col width="8" customWidth="1" min="14" max="14"/>
    <col width="9" customWidth="1" min="15" max="15"/>
    <col width="8" customWidth="1" min="16" max="16"/>
    <col width="62" customWidth="1" min="17" max="17"/>
  </cols>
  <sheetData>
    <row r="1" ht="20" customHeight="1">
      <c r="A1" s="1" t="inlineStr">
        <is>
          <t>K — ranked by projected points</t>
        </is>
      </c>
    </row>
    <row r="2" ht="26" customHeight="1">
      <c r="A2" s="2" t="inlineStr">
        <is>
          <t>Rank</t>
        </is>
      </c>
      <c r="B2" s="2" t="inlineStr">
        <is>
          <t>Pos</t>
        </is>
      </c>
      <c r="C2" s="2" t="inlineStr">
        <is>
          <t>Player</t>
        </is>
      </c>
      <c r="D2" s="2" t="inlineStr">
        <is>
          <t>Tm</t>
        </is>
      </c>
      <c r="E2" s="2" t="inlineStr">
        <is>
          <t>P</t>
        </is>
      </c>
      <c r="F2" s="2" t="inlineStr">
        <is>
          <t>PassTD</t>
        </is>
      </c>
      <c r="G2" s="2" t="inlineStr">
        <is>
          <t>RushTD</t>
        </is>
      </c>
      <c r="H2" s="2" t="inlineStr">
        <is>
          <t>RecTD</t>
        </is>
      </c>
      <c r="I2" s="2" t="inlineStr">
        <is>
          <t>FG</t>
        </is>
      </c>
      <c r="J2" s="2" t="inlineStr">
        <is>
          <t>PAT</t>
        </is>
      </c>
      <c r="K2" s="2" t="inlineStr">
        <is>
          <t>DefTD</t>
        </is>
      </c>
      <c r="L2" s="2" t="inlineStr">
        <is>
          <t>Saf</t>
        </is>
      </c>
      <c r="M2" s="2" t="inlineStr">
        <is>
          <t>Points</t>
        </is>
      </c>
      <c r="N2" s="2" t="inlineStr">
        <is>
          <t>VOR</t>
        </is>
      </c>
      <c r="O2" s="2" t="inlineStr">
        <is>
          <t>Adj VOR</t>
        </is>
      </c>
      <c r="P2" s="2" t="inlineStr">
        <is>
          <t>Conf</t>
        </is>
      </c>
      <c r="Q2" s="2" t="inlineStr">
        <is>
          <t>Notes</t>
        </is>
      </c>
    </row>
    <row r="3">
      <c r="A3" s="3" t="n">
        <v>17</v>
      </c>
      <c r="B3" s="11" t="inlineStr">
        <is>
          <t>K1</t>
        </is>
      </c>
      <c r="C3" s="5" t="inlineStr">
        <is>
          <t>Jason Myers</t>
        </is>
      </c>
      <c r="D3" s="3" t="inlineStr">
        <is>
          <t>SEA</t>
        </is>
      </c>
      <c r="E3" s="11" t="inlineStr">
        <is>
          <t>K</t>
        </is>
      </c>
      <c r="F3" s="6" t="n"/>
      <c r="G3" s="6" t="n"/>
      <c r="H3" s="6" t="n"/>
      <c r="I3" s="6" t="n">
        <v>39</v>
      </c>
      <c r="J3" s="6" t="n">
        <v>50</v>
      </c>
      <c r="K3" s="6" t="n"/>
      <c r="L3" s="6" t="n"/>
      <c r="M3" s="7">
        <f>F3*Settings!$B$4+G3*Settings!$B$5+H3*Settings!$B$6+I3*Settings!$B$7+J3*Settings!$B$8+K3*Settings!$B$9+L3*Settings!$B$10</f>
        <v/>
      </c>
      <c r="N3" s="8">
        <f>M3-INDEX(Settings!$G$4:$G$9,MATCH($E3,Settings!$F$4:$F$9,0))</f>
        <v/>
      </c>
      <c r="O3" s="7">
        <f>N3*INDEX(Settings!$H$4:$H$9,MATCH($E3,Settings!$F$4:$F$9,0))</f>
        <v/>
      </c>
      <c r="P3" s="3" t="inlineStr">
        <is>
          <t>HIGH</t>
        </is>
      </c>
      <c r="Q3" s="5" t="inlineStr">
        <is>
          <t>Led NFL 43 FGM 2025 on 48 FGA</t>
        </is>
      </c>
    </row>
    <row r="4">
      <c r="A4" s="3" t="n">
        <v>23</v>
      </c>
      <c r="B4" s="11" t="inlineStr">
        <is>
          <t>K2</t>
        </is>
      </c>
      <c r="C4" s="5" t="inlineStr">
        <is>
          <t>Ka'imi Fairbairn</t>
        </is>
      </c>
      <c r="D4" s="3" t="inlineStr">
        <is>
          <t>HOU</t>
        </is>
      </c>
      <c r="E4" s="11" t="inlineStr">
        <is>
          <t>K</t>
        </is>
      </c>
      <c r="F4" s="6" t="n"/>
      <c r="G4" s="6" t="n"/>
      <c r="H4" s="6" t="n"/>
      <c r="I4" s="6" t="n">
        <v>39</v>
      </c>
      <c r="J4" s="6" t="n">
        <v>39</v>
      </c>
      <c r="K4" s="6" t="n"/>
      <c r="L4" s="6" t="n"/>
      <c r="M4" s="7">
        <f>F4*Settings!$B$4+G4*Settings!$B$5+H4*Settings!$B$6+I4*Settings!$B$7+J4*Settings!$B$8+K4*Settings!$B$9+L4*Settings!$B$10</f>
        <v/>
      </c>
      <c r="N4" s="8">
        <f>M4-INDEX(Settings!$G$4:$G$9,MATCH($E4,Settings!$F$4:$F$9,0))</f>
        <v/>
      </c>
      <c r="O4" s="7">
        <f>N4*INDEX(Settings!$H$4:$H$9,MATCH($E4,Settings!$F$4:$F$9,0))</f>
        <v/>
      </c>
      <c r="P4" s="3" t="inlineStr">
        <is>
          <t>HIGH</t>
        </is>
      </c>
      <c r="Q4" s="5" t="inlineStr">
        <is>
          <t>Best FG-lean in league; HOU led NFL 52 FGA</t>
        </is>
      </c>
    </row>
    <row r="5">
      <c r="A5" s="3" t="n">
        <v>27</v>
      </c>
      <c r="B5" s="11" t="inlineStr">
        <is>
          <t>K3</t>
        </is>
      </c>
      <c r="C5" s="5" t="inlineStr">
        <is>
          <t>Brandon Aubrey</t>
        </is>
      </c>
      <c r="D5" s="3" t="inlineStr">
        <is>
          <t>DAL</t>
        </is>
      </c>
      <c r="E5" s="11" t="inlineStr">
        <is>
          <t>K</t>
        </is>
      </c>
      <c r="F5" s="6" t="n"/>
      <c r="G5" s="6" t="n"/>
      <c r="H5" s="6" t="n"/>
      <c r="I5" s="6" t="n">
        <v>35</v>
      </c>
      <c r="J5" s="6" t="n">
        <v>49</v>
      </c>
      <c r="K5" s="6" t="n"/>
      <c r="L5" s="6" t="n"/>
      <c r="M5" s="7">
        <f>F5*Settings!$B$4+G5*Settings!$B$5+H5*Settings!$B$6+I5*Settings!$B$7+J5*Settings!$B$8+K5*Settings!$B$9+L5*Settings!$B$10</f>
        <v/>
      </c>
      <c r="N5" s="8">
        <f>M5-INDEX(Settings!$G$4:$G$9,MATCH($E5,Settings!$F$4:$F$9,0))</f>
        <v/>
      </c>
      <c r="O5" s="7">
        <f>N5*INDEX(Settings!$H$4:$H$9,MATCH($E5,Settings!$F$4:$F$9,0))</f>
        <v/>
      </c>
      <c r="P5" s="3" t="inlineStr">
        <is>
          <t>HIGH</t>
        </is>
      </c>
      <c r="Q5" s="5" t="inlineStr"/>
    </row>
    <row r="6">
      <c r="A6" s="3" t="n">
        <v>29</v>
      </c>
      <c r="B6" s="11" t="inlineStr">
        <is>
          <t>K4</t>
        </is>
      </c>
      <c r="C6" s="5" t="inlineStr">
        <is>
          <t>Blake Grupe</t>
        </is>
      </c>
      <c r="D6" s="3" t="inlineStr">
        <is>
          <t>IND</t>
        </is>
      </c>
      <c r="E6" s="11" t="inlineStr">
        <is>
          <t>K</t>
        </is>
      </c>
      <c r="F6" s="6" t="n"/>
      <c r="G6" s="6" t="n"/>
      <c r="H6" s="6" t="n"/>
      <c r="I6" s="6" t="n">
        <v>34</v>
      </c>
      <c r="J6" s="6" t="n">
        <v>51</v>
      </c>
      <c r="K6" s="6" t="n"/>
      <c r="L6" s="6" t="n"/>
      <c r="M6" s="7">
        <f>F6*Settings!$B$4+G6*Settings!$B$5+H6*Settings!$B$6+I6*Settings!$B$7+J6*Settings!$B$8+K6*Settings!$B$9+L6*Settings!$B$10</f>
        <v/>
      </c>
      <c r="N6" s="8">
        <f>M6-INDEX(Settings!$G$4:$G$9,MATCH($E6,Settings!$F$4:$F$9,0))</f>
        <v/>
      </c>
      <c r="O6" s="7">
        <f>N6*INDEX(Settings!$H$4:$H$9,MATCH($E6,Settings!$F$4:$F$9,0))</f>
        <v/>
      </c>
      <c r="P6" s="3" t="inlineStr">
        <is>
          <t>MEDIUM</t>
        </is>
      </c>
      <c r="Q6" s="5" t="inlineStr">
        <is>
          <t>Shrader listed as backup</t>
        </is>
      </c>
    </row>
    <row r="7">
      <c r="A7" s="3" t="n">
        <v>42</v>
      </c>
      <c r="B7" s="11" t="inlineStr">
        <is>
          <t>K5</t>
        </is>
      </c>
      <c r="C7" s="5" t="inlineStr">
        <is>
          <t>Jake Bates</t>
        </is>
      </c>
      <c r="D7" s="3" t="inlineStr">
        <is>
          <t>DET</t>
        </is>
      </c>
      <c r="E7" s="11" t="inlineStr">
        <is>
          <t>K</t>
        </is>
      </c>
      <c r="F7" s="6" t="n"/>
      <c r="G7" s="6" t="n"/>
      <c r="H7" s="6" t="n"/>
      <c r="I7" s="6" t="n">
        <v>31</v>
      </c>
      <c r="J7" s="6" t="n">
        <v>53</v>
      </c>
      <c r="K7" s="6" t="n"/>
      <c r="L7" s="6" t="n"/>
      <c r="M7" s="7">
        <f>F7*Settings!$B$4+G7*Settings!$B$5+H7*Settings!$B$6+I7*Settings!$B$7+J7*Settings!$B$8+K7*Settings!$B$9+L7*Settings!$B$10</f>
        <v/>
      </c>
      <c r="N7" s="8">
        <f>M7-INDEX(Settings!$G$4:$G$9,MATCH($E7,Settings!$F$4:$F$9,0))</f>
        <v/>
      </c>
      <c r="O7" s="7">
        <f>N7*INDEX(Settings!$H$4:$H$9,MATCH($E7,Settings!$F$4:$F$9,0))</f>
        <v/>
      </c>
      <c r="P7" s="3" t="inlineStr">
        <is>
          <t>HIGH</t>
        </is>
      </c>
      <c r="Q7" s="5" t="inlineStr">
        <is>
          <t>XP-heavy; TD offense caps him</t>
        </is>
      </c>
    </row>
    <row r="8">
      <c r="A8" s="3" t="n">
        <v>52</v>
      </c>
      <c r="B8" s="11" t="inlineStr">
        <is>
          <t>K6</t>
        </is>
      </c>
      <c r="C8" s="5" t="inlineStr">
        <is>
          <t>Cameron Dicker</t>
        </is>
      </c>
      <c r="D8" s="3" t="inlineStr">
        <is>
          <t>LAC</t>
        </is>
      </c>
      <c r="E8" s="11" t="inlineStr">
        <is>
          <t>K</t>
        </is>
      </c>
      <c r="F8" s="6" t="n"/>
      <c r="G8" s="6" t="n"/>
      <c r="H8" s="6" t="n"/>
      <c r="I8" s="6" t="n">
        <v>35</v>
      </c>
      <c r="J8" s="6" t="n">
        <v>38</v>
      </c>
      <c r="K8" s="6" t="n"/>
      <c r="L8" s="6" t="n"/>
      <c r="M8" s="7">
        <f>F8*Settings!$B$4+G8*Settings!$B$5+H8*Settings!$B$6+I8*Settings!$B$7+J8*Settings!$B$8+K8*Settings!$B$9+L8*Settings!$B$10</f>
        <v/>
      </c>
      <c r="N8" s="8">
        <f>M8-INDEX(Settings!$G$4:$G$9,MATCH($E8,Settings!$F$4:$F$9,0))</f>
        <v/>
      </c>
      <c r="O8" s="7">
        <f>N8*INDEX(Settings!$H$4:$H$9,MATCH($E8,Settings!$F$4:$F$9,0))</f>
        <v/>
      </c>
      <c r="P8" s="3" t="inlineStr">
        <is>
          <t>HIGH</t>
        </is>
      </c>
      <c r="Q8" s="5" t="inlineStr">
        <is>
          <t>92.7 pct in 2025; strong FG lean</t>
        </is>
      </c>
    </row>
    <row r="9">
      <c r="A9" s="3" t="n">
        <v>53</v>
      </c>
      <c r="B9" s="11" t="inlineStr">
        <is>
          <t>K7</t>
        </is>
      </c>
      <c r="C9" s="5" t="inlineStr">
        <is>
          <t>Cairo Santos</t>
        </is>
      </c>
      <c r="D9" s="3" t="inlineStr">
        <is>
          <t>CHI</t>
        </is>
      </c>
      <c r="E9" s="11" t="inlineStr">
        <is>
          <t>K</t>
        </is>
      </c>
      <c r="F9" s="6" t="n"/>
      <c r="G9" s="6" t="n"/>
      <c r="H9" s="6" t="n"/>
      <c r="I9" s="6" t="n">
        <v>32</v>
      </c>
      <c r="J9" s="6" t="n">
        <v>47</v>
      </c>
      <c r="K9" s="6" t="n"/>
      <c r="L9" s="6" t="n"/>
      <c r="M9" s="7">
        <f>F9*Settings!$B$4+G9*Settings!$B$5+H9*Settings!$B$6+I9*Settings!$B$7+J9*Settings!$B$8+K9*Settings!$B$9+L9*Settings!$B$10</f>
        <v/>
      </c>
      <c r="N9" s="8">
        <f>M9-INDEX(Settings!$G$4:$G$9,MATCH($E9,Settings!$F$4:$F$9,0))</f>
        <v/>
      </c>
      <c r="O9" s="7">
        <f>N9*INDEX(Settings!$H$4:$H$9,MATCH($E9,Settings!$F$4:$F$9,0))</f>
        <v/>
      </c>
      <c r="P9" s="3" t="inlineStr">
        <is>
          <t>HIGH</t>
        </is>
      </c>
      <c r="Q9" s="5" t="inlineStr">
        <is>
          <t>39 FGA in 2025</t>
        </is>
      </c>
    </row>
    <row r="10">
      <c r="A10" s="3" t="n">
        <v>58</v>
      </c>
      <c r="B10" s="11" t="inlineStr">
        <is>
          <t>K8</t>
        </is>
      </c>
      <c r="C10" s="5" t="inlineStr">
        <is>
          <t>Harrison Mevis</t>
        </is>
      </c>
      <c r="D10" s="3" t="inlineStr">
        <is>
          <t>LAR</t>
        </is>
      </c>
      <c r="E10" s="11" t="inlineStr">
        <is>
          <t>K</t>
        </is>
      </c>
      <c r="F10" s="6" t="n"/>
      <c r="G10" s="6" t="n"/>
      <c r="H10" s="6" t="n"/>
      <c r="I10" s="6" t="n">
        <v>29</v>
      </c>
      <c r="J10" s="6" t="n">
        <v>55</v>
      </c>
      <c r="K10" s="6" t="n"/>
      <c r="L10" s="6" t="n"/>
      <c r="M10" s="7">
        <f>F10*Settings!$B$4+G10*Settings!$B$5+H10*Settings!$B$6+I10*Settings!$B$7+J10*Settings!$B$8+K10*Settings!$B$9+L10*Settings!$B$10</f>
        <v/>
      </c>
      <c r="N10" s="8">
        <f>M10-INDEX(Settings!$G$4:$G$9,MATCH($E10,Settings!$F$4:$F$9,0))</f>
        <v/>
      </c>
      <c r="O10" s="7">
        <f>N10*INDEX(Settings!$H$4:$H$9,MATCH($E10,Settings!$F$4:$F$9,0))</f>
        <v/>
      </c>
      <c r="P10" s="3" t="inlineStr">
        <is>
          <t>MEDIUM</t>
        </is>
      </c>
      <c r="Q10" s="5" t="inlineStr">
        <is>
          <t>Most TD-heavy K; LAR led NFL RZ trips</t>
        </is>
      </c>
    </row>
    <row r="11">
      <c r="A11" s="3" t="n">
        <v>69</v>
      </c>
      <c r="B11" s="11" t="inlineStr">
        <is>
          <t>K9</t>
        </is>
      </c>
      <c r="C11" s="5" t="inlineStr">
        <is>
          <t>Will Reichard</t>
        </is>
      </c>
      <c r="D11" s="3" t="inlineStr">
        <is>
          <t>MIN</t>
        </is>
      </c>
      <c r="E11" s="11" t="inlineStr">
        <is>
          <t>K</t>
        </is>
      </c>
      <c r="F11" s="6" t="n"/>
      <c r="G11" s="6" t="n"/>
      <c r="H11" s="6" t="n"/>
      <c r="I11" s="6" t="n">
        <v>33</v>
      </c>
      <c r="J11" s="6" t="n">
        <v>42</v>
      </c>
      <c r="K11" s="6" t="n"/>
      <c r="L11" s="6" t="n"/>
      <c r="M11" s="7">
        <f>F11*Settings!$B$4+G11*Settings!$B$5+H11*Settings!$B$6+I11*Settings!$B$7+J11*Settings!$B$8+K11*Settings!$B$9+L11*Settings!$B$10</f>
        <v/>
      </c>
      <c r="N11" s="8">
        <f>M11-INDEX(Settings!$G$4:$G$9,MATCH($E11,Settings!$F$4:$F$9,0))</f>
        <v/>
      </c>
      <c r="O11" s="7">
        <f>N11*INDEX(Settings!$H$4:$H$9,MATCH($E11,Settings!$F$4:$F$9,0))</f>
        <v/>
      </c>
      <c r="P11" s="3" t="inlineStr">
        <is>
          <t>HIGH</t>
        </is>
      </c>
      <c r="Q11" s="5" t="inlineStr">
        <is>
          <t>94.3 pct in 2025</t>
        </is>
      </c>
    </row>
    <row r="12">
      <c r="A12" s="3" t="n">
        <v>70</v>
      </c>
      <c r="B12" s="11" t="inlineStr">
        <is>
          <t>K10</t>
        </is>
      </c>
      <c r="C12" s="5" t="inlineStr">
        <is>
          <t>Chase McLaughlin</t>
        </is>
      </c>
      <c r="D12" s="3" t="inlineStr">
        <is>
          <t>TB</t>
        </is>
      </c>
      <c r="E12" s="11" t="inlineStr">
        <is>
          <t>K</t>
        </is>
      </c>
      <c r="F12" s="6" t="n"/>
      <c r="G12" s="6" t="n"/>
      <c r="H12" s="6" t="n"/>
      <c r="I12" s="6" t="n">
        <v>33</v>
      </c>
      <c r="J12" s="6" t="n">
        <v>42</v>
      </c>
      <c r="K12" s="6" t="n"/>
      <c r="L12" s="6" t="n"/>
      <c r="M12" s="7">
        <f>F12*Settings!$B$4+G12*Settings!$B$5+H12*Settings!$B$6+I12*Settings!$B$7+J12*Settings!$B$8+K12*Settings!$B$9+L12*Settings!$B$10</f>
        <v/>
      </c>
      <c r="N12" s="8">
        <f>M12-INDEX(Settings!$G$4:$G$9,MATCH($E12,Settings!$F$4:$F$9,0))</f>
        <v/>
      </c>
      <c r="O12" s="7">
        <f>N12*INDEX(Settings!$H$4:$H$9,MATCH($E12,Settings!$F$4:$F$9,0))</f>
        <v/>
      </c>
      <c r="P12" s="3" t="inlineStr">
        <is>
          <t>HIGH</t>
        </is>
      </c>
      <c r="Q12" s="5" t="inlineStr"/>
    </row>
    <row r="13">
      <c r="A13" s="3" t="n">
        <v>82</v>
      </c>
      <c r="B13" s="11" t="inlineStr">
        <is>
          <t>K11</t>
        </is>
      </c>
      <c r="C13" s="5" t="inlineStr">
        <is>
          <t>Tyler Loop</t>
        </is>
      </c>
      <c r="D13" s="3" t="inlineStr">
        <is>
          <t>BAL</t>
        </is>
      </c>
      <c r="E13" s="11" t="inlineStr">
        <is>
          <t>K</t>
        </is>
      </c>
      <c r="F13" s="6" t="n"/>
      <c r="G13" s="6" t="n"/>
      <c r="H13" s="6" t="n"/>
      <c r="I13" s="6" t="n">
        <v>29</v>
      </c>
      <c r="J13" s="6" t="n">
        <v>49</v>
      </c>
      <c r="K13" s="6" t="n"/>
      <c r="L13" s="6" t="n"/>
      <c r="M13" s="7">
        <f>F13*Settings!$B$4+G13*Settings!$B$5+H13*Settings!$B$6+I13*Settings!$B$7+J13*Settings!$B$8+K13*Settings!$B$9+L13*Settings!$B$10</f>
        <v/>
      </c>
      <c r="N13" s="8">
        <f>M13-INDEX(Settings!$G$4:$G$9,MATCH($E13,Settings!$F$4:$F$9,0))</f>
        <v/>
      </c>
      <c r="O13" s="7">
        <f>N13*INDEX(Settings!$H$4:$H$9,MATCH($E13,Settings!$F$4:$F$9,0))</f>
        <v/>
      </c>
      <c r="P13" s="3" t="inlineStr">
        <is>
          <t>MEDIUM</t>
        </is>
      </c>
      <c r="Q13" s="5" t="inlineStr">
        <is>
          <t>Year 2; BAL 11.5 win total</t>
        </is>
      </c>
    </row>
    <row r="14">
      <c r="A14" s="3" t="n">
        <v>87</v>
      </c>
      <c r="B14" s="11" t="inlineStr">
        <is>
          <t>K12</t>
        </is>
      </c>
      <c r="C14" s="5" t="inlineStr">
        <is>
          <t>Cam Little</t>
        </is>
      </c>
      <c r="D14" s="3" t="inlineStr">
        <is>
          <t>JAX</t>
        </is>
      </c>
      <c r="E14" s="11" t="inlineStr">
        <is>
          <t>K</t>
        </is>
      </c>
      <c r="F14" s="6" t="n"/>
      <c r="G14" s="6" t="n"/>
      <c r="H14" s="6" t="n"/>
      <c r="I14" s="6" t="n">
        <v>29</v>
      </c>
      <c r="J14" s="6" t="n">
        <v>48</v>
      </c>
      <c r="K14" s="6" t="n"/>
      <c r="L14" s="6" t="n"/>
      <c r="M14" s="7">
        <f>F14*Settings!$B$4+G14*Settings!$B$5+H14*Settings!$B$6+I14*Settings!$B$7+J14*Settings!$B$8+K14*Settings!$B$9+L14*Settings!$B$10</f>
        <v/>
      </c>
      <c r="N14" s="8">
        <f>M14-INDEX(Settings!$G$4:$G$9,MATCH($E14,Settings!$F$4:$F$9,0))</f>
        <v/>
      </c>
      <c r="O14" s="7">
        <f>N14*INDEX(Settings!$H$4:$H$9,MATCH($E14,Settings!$F$4:$F$9,0))</f>
        <v/>
      </c>
      <c r="P14" s="3" t="inlineStr">
        <is>
          <t>HIGH</t>
        </is>
      </c>
      <c r="Q14" s="5" t="inlineStr"/>
    </row>
    <row r="15">
      <c r="A15" s="3" t="n">
        <v>89</v>
      </c>
      <c r="B15" s="11" t="inlineStr">
        <is>
          <t>K13</t>
        </is>
      </c>
      <c r="C15" s="5" t="inlineStr">
        <is>
          <t>Harrison Butker</t>
        </is>
      </c>
      <c r="D15" s="3" t="inlineStr">
        <is>
          <t>KC</t>
        </is>
      </c>
      <c r="E15" s="11" t="inlineStr">
        <is>
          <t>K</t>
        </is>
      </c>
      <c r="F15" s="6" t="n"/>
      <c r="G15" s="6" t="n"/>
      <c r="H15" s="6" t="n"/>
      <c r="I15" s="6" t="n">
        <v>33</v>
      </c>
      <c r="J15" s="6" t="n">
        <v>35</v>
      </c>
      <c r="K15" s="6" t="n"/>
      <c r="L15" s="6" t="n"/>
      <c r="M15" s="7">
        <f>F15*Settings!$B$4+G15*Settings!$B$5+H15*Settings!$B$6+I15*Settings!$B$7+J15*Settings!$B$8+K15*Settings!$B$9+L15*Settings!$B$10</f>
        <v/>
      </c>
      <c r="N15" s="8">
        <f>M15-INDEX(Settings!$G$4:$G$9,MATCH($E15,Settings!$F$4:$F$9,0))</f>
        <v/>
      </c>
      <c r="O15" s="7">
        <f>N15*INDEX(Settings!$H$4:$H$9,MATCH($E15,Settings!$F$4:$F$9,0))</f>
        <v/>
      </c>
      <c r="P15" s="3" t="inlineStr">
        <is>
          <t>HIGH</t>
        </is>
      </c>
      <c r="Q15" s="5" t="inlineStr">
        <is>
          <t>Strong FG lean</t>
        </is>
      </c>
    </row>
    <row r="16">
      <c r="A16" s="3" t="n">
        <v>90</v>
      </c>
      <c r="B16" s="11" t="inlineStr">
        <is>
          <t>K14</t>
        </is>
      </c>
      <c r="C16" s="5" t="inlineStr">
        <is>
          <t>Wil Lutz</t>
        </is>
      </c>
      <c r="D16" s="3" t="inlineStr">
        <is>
          <t>DEN</t>
        </is>
      </c>
      <c r="E16" s="11" t="inlineStr">
        <is>
          <t>K</t>
        </is>
      </c>
      <c r="F16" s="6" t="n"/>
      <c r="G16" s="6" t="n"/>
      <c r="H16" s="6" t="n"/>
      <c r="I16" s="6" t="n">
        <v>30</v>
      </c>
      <c r="J16" s="6" t="n">
        <v>44</v>
      </c>
      <c r="K16" s="6" t="n"/>
      <c r="L16" s="6" t="n"/>
      <c r="M16" s="7">
        <f>F16*Settings!$B$4+G16*Settings!$B$5+H16*Settings!$B$6+I16*Settings!$B$7+J16*Settings!$B$8+K16*Settings!$B$9+L16*Settings!$B$10</f>
        <v/>
      </c>
      <c r="N16" s="8">
        <f>M16-INDEX(Settings!$G$4:$G$9,MATCH($E16,Settings!$F$4:$F$9,0))</f>
        <v/>
      </c>
      <c r="O16" s="7">
        <f>N16*INDEX(Settings!$H$4:$H$9,MATCH($E16,Settings!$F$4:$F$9,0))</f>
        <v/>
      </c>
      <c r="P16" s="3" t="inlineStr">
        <is>
          <t>HIGH</t>
        </is>
      </c>
      <c r="Q16" s="5" t="inlineStr"/>
    </row>
    <row r="17">
      <c r="A17" s="3" t="n">
        <v>91</v>
      </c>
      <c r="B17" s="11" t="inlineStr">
        <is>
          <t>K15</t>
        </is>
      </c>
      <c r="C17" s="5" t="inlineStr">
        <is>
          <t>Evan McPherson</t>
        </is>
      </c>
      <c r="D17" s="3" t="inlineStr">
        <is>
          <t>CIN</t>
        </is>
      </c>
      <c r="E17" s="11" t="inlineStr">
        <is>
          <t>K</t>
        </is>
      </c>
      <c r="F17" s="6" t="n"/>
      <c r="G17" s="6" t="n"/>
      <c r="H17" s="6" t="n"/>
      <c r="I17" s="6" t="n">
        <v>29</v>
      </c>
      <c r="J17" s="6" t="n">
        <v>47</v>
      </c>
      <c r="K17" s="6" t="n"/>
      <c r="L17" s="6" t="n"/>
      <c r="M17" s="7">
        <f>F17*Settings!$B$4+G17*Settings!$B$5+H17*Settings!$B$6+I17*Settings!$B$7+J17*Settings!$B$8+K17*Settings!$B$9+L17*Settings!$B$10</f>
        <v/>
      </c>
      <c r="N17" s="8">
        <f>M17-INDEX(Settings!$G$4:$G$9,MATCH($E17,Settings!$F$4:$F$9,0))</f>
        <v/>
      </c>
      <c r="O17" s="7">
        <f>N17*INDEX(Settings!$H$4:$H$9,MATCH($E17,Settings!$F$4:$F$9,0))</f>
        <v/>
      </c>
      <c r="P17" s="3" t="inlineStr">
        <is>
          <t>HIGH</t>
        </is>
      </c>
      <c r="Q17" s="5" t="inlineStr">
        <is>
          <t>Only 28 FGA in 2025</t>
        </is>
      </c>
    </row>
    <row r="18">
      <c r="A18" s="3" t="n">
        <v>124</v>
      </c>
      <c r="B18" s="11" t="inlineStr">
        <is>
          <t>K16</t>
        </is>
      </c>
      <c r="C18" s="5" t="inlineStr">
        <is>
          <t>Nick Folk</t>
        </is>
      </c>
      <c r="D18" s="3" t="inlineStr">
        <is>
          <t>ATL</t>
        </is>
      </c>
      <c r="E18" s="11" t="inlineStr">
        <is>
          <t>K</t>
        </is>
      </c>
      <c r="F18" s="6" t="n"/>
      <c r="G18" s="6" t="n"/>
      <c r="H18" s="6" t="n"/>
      <c r="I18" s="6" t="n">
        <v>30</v>
      </c>
      <c r="J18" s="6" t="n">
        <v>41</v>
      </c>
      <c r="K18" s="6" t="n"/>
      <c r="L18" s="6" t="n"/>
      <c r="M18" s="7">
        <f>F18*Settings!$B$4+G18*Settings!$B$5+H18*Settings!$B$6+I18*Settings!$B$7+J18*Settings!$B$8+K18*Settings!$B$9+L18*Settings!$B$10</f>
        <v/>
      </c>
      <c r="N18" s="8">
        <f>M18-INDEX(Settings!$G$4:$G$9,MATCH($E18,Settings!$F$4:$F$9,0))</f>
        <v/>
      </c>
      <c r="O18" s="7">
        <f>N18*INDEX(Settings!$H$4:$H$9,MATCH($E18,Settings!$F$4:$F$9,0))</f>
        <v/>
      </c>
      <c r="P18" s="3" t="inlineStr">
        <is>
          <t>MEDIUM</t>
        </is>
      </c>
      <c r="Q18" s="5" t="inlineStr">
        <is>
          <t>Age risk</t>
        </is>
      </c>
    </row>
    <row r="19">
      <c r="A19" s="3" t="n">
        <v>133</v>
      </c>
      <c r="B19" s="11" t="inlineStr">
        <is>
          <t>K17</t>
        </is>
      </c>
      <c r="C19" s="5" t="inlineStr">
        <is>
          <t>Eddy Pineiro</t>
        </is>
      </c>
      <c r="D19" s="3" t="inlineStr">
        <is>
          <t>SF</t>
        </is>
      </c>
      <c r="E19" s="11" t="inlineStr">
        <is>
          <t>K</t>
        </is>
      </c>
      <c r="F19" s="6" t="n"/>
      <c r="G19" s="6" t="n"/>
      <c r="H19" s="6" t="n"/>
      <c r="I19" s="6" t="n">
        <v>31</v>
      </c>
      <c r="J19" s="6" t="n">
        <v>37</v>
      </c>
      <c r="K19" s="6" t="n"/>
      <c r="L19" s="6" t="n"/>
      <c r="M19" s="7">
        <f>F19*Settings!$B$4+G19*Settings!$B$5+H19*Settings!$B$6+I19*Settings!$B$7+J19*Settings!$B$8+K19*Settings!$B$9+L19*Settings!$B$10</f>
        <v/>
      </c>
      <c r="N19" s="8">
        <f>M19-INDEX(Settings!$G$4:$G$9,MATCH($E19,Settings!$F$4:$F$9,0))</f>
        <v/>
      </c>
      <c r="O19" s="7">
        <f>N19*INDEX(Settings!$H$4:$H$9,MATCH($E19,Settings!$F$4:$F$9,0))</f>
        <v/>
      </c>
      <c r="P19" s="3" t="inlineStr">
        <is>
          <t>MEDIUM</t>
        </is>
      </c>
      <c r="Q19" s="5" t="inlineStr"/>
    </row>
    <row r="20">
      <c r="A20" s="3" t="n">
        <v>148</v>
      </c>
      <c r="B20" s="11" t="inlineStr">
        <is>
          <t>K18</t>
        </is>
      </c>
      <c r="C20" s="5" t="inlineStr">
        <is>
          <t>Daniel Carlson</t>
        </is>
      </c>
      <c r="D20" s="3" t="inlineStr">
        <is>
          <t>NO</t>
        </is>
      </c>
      <c r="E20" s="11" t="inlineStr">
        <is>
          <t>K</t>
        </is>
      </c>
      <c r="F20" s="6" t="n"/>
      <c r="G20" s="6" t="n"/>
      <c r="H20" s="6" t="n"/>
      <c r="I20" s="6" t="n">
        <v>30</v>
      </c>
      <c r="J20" s="6" t="n">
        <v>37</v>
      </c>
      <c r="K20" s="6" t="n"/>
      <c r="L20" s="6" t="n"/>
      <c r="M20" s="7">
        <f>F20*Settings!$B$4+G20*Settings!$B$5+H20*Settings!$B$6+I20*Settings!$B$7+J20*Settings!$B$8+K20*Settings!$B$9+L20*Settings!$B$10</f>
        <v/>
      </c>
      <c r="N20" s="8">
        <f>M20-INDEX(Settings!$G$4:$G$9,MATCH($E20,Settings!$F$4:$F$9,0))</f>
        <v/>
      </c>
      <c r="O20" s="7">
        <f>N20*INDEX(Settings!$H$4:$H$9,MATCH($E20,Settings!$F$4:$F$9,0))</f>
        <v/>
      </c>
      <c r="P20" s="3" t="inlineStr">
        <is>
          <t>LOW</t>
        </is>
      </c>
      <c r="Q20" s="5" t="inlineStr">
        <is>
          <t>Published projections stale (built on Smyth); NO 42 FGA at 71.4 pct = upside</t>
        </is>
      </c>
    </row>
    <row r="21">
      <c r="A21" s="3" t="n">
        <v>154</v>
      </c>
      <c r="B21" s="11" t="inlineStr">
        <is>
          <t>K19</t>
        </is>
      </c>
      <c r="C21" s="5" t="inlineStr">
        <is>
          <t>Trey Smack</t>
        </is>
      </c>
      <c r="D21" s="3" t="inlineStr">
        <is>
          <t>GB</t>
        </is>
      </c>
      <c r="E21" s="11" t="inlineStr">
        <is>
          <t>K</t>
        </is>
      </c>
      <c r="F21" s="6" t="n"/>
      <c r="G21" s="6" t="n"/>
      <c r="H21" s="6" t="n"/>
      <c r="I21" s="6" t="n">
        <v>29</v>
      </c>
      <c r="J21" s="6" t="n">
        <v>38</v>
      </c>
      <c r="K21" s="6" t="n"/>
      <c r="L21" s="6" t="n"/>
      <c r="M21" s="7">
        <f>F21*Settings!$B$4+G21*Settings!$B$5+H21*Settings!$B$6+I21*Settings!$B$7+J21*Settings!$B$8+K21*Settings!$B$9+L21*Settings!$B$10</f>
        <v/>
      </c>
      <c r="N21" s="8">
        <f>M21-INDEX(Settings!$G$4:$G$9,MATCH($E21,Settings!$F$4:$F$9,0))</f>
        <v/>
      </c>
      <c r="O21" s="7">
        <f>N21*INDEX(Settings!$H$4:$H$9,MATCH($E21,Settings!$F$4:$F$9,0))</f>
        <v/>
      </c>
      <c r="P21" s="3" t="inlineStr">
        <is>
          <t>LOW</t>
        </is>
      </c>
      <c r="Q21" s="5" t="inlineStr">
        <is>
          <t>Rookie 6th rounder</t>
        </is>
      </c>
    </row>
    <row r="22">
      <c r="A22" s="3" t="n">
        <v>162</v>
      </c>
      <c r="B22" s="11" t="inlineStr">
        <is>
          <t>K20</t>
        </is>
      </c>
      <c r="C22" s="5" t="inlineStr">
        <is>
          <t>Tyler Bass</t>
        </is>
      </c>
      <c r="D22" s="3" t="inlineStr">
        <is>
          <t>BUF</t>
        </is>
      </c>
      <c r="E22" s="11" t="inlineStr">
        <is>
          <t>K</t>
        </is>
      </c>
      <c r="F22" s="6" t="n"/>
      <c r="G22" s="6" t="n"/>
      <c r="H22" s="6" t="n"/>
      <c r="I22" s="6" t="n">
        <v>26</v>
      </c>
      <c r="J22" s="6" t="n">
        <v>46</v>
      </c>
      <c r="K22" s="6" t="n"/>
      <c r="L22" s="6" t="n"/>
      <c r="M22" s="7">
        <f>F22*Settings!$B$4+G22*Settings!$B$5+H22*Settings!$B$6+I22*Settings!$B$7+J22*Settings!$B$8+K22*Settings!$B$9+L22*Settings!$B$10</f>
        <v/>
      </c>
      <c r="N22" s="8">
        <f>M22-INDEX(Settings!$G$4:$G$9,MATCH($E22,Settings!$F$4:$F$9,0))</f>
        <v/>
      </c>
      <c r="O22" s="7">
        <f>N22*INDEX(Settings!$H$4:$H$9,MATCH($E22,Settings!$F$4:$F$9,0))</f>
        <v/>
      </c>
      <c r="P22" s="3" t="inlineStr">
        <is>
          <t>MEDIUM</t>
        </is>
      </c>
      <c r="Q22" s="5" t="inlineStr">
        <is>
          <t>TRAP: BUF had fewest FGA in NFL (21) in 2025</t>
        </is>
      </c>
    </row>
    <row r="23">
      <c r="A23" s="3" t="n">
        <v>164</v>
      </c>
      <c r="B23" s="11" t="inlineStr">
        <is>
          <t>K21</t>
        </is>
      </c>
      <c r="C23" s="5" t="inlineStr">
        <is>
          <t>Jason Sanders</t>
        </is>
      </c>
      <c r="D23" s="3" t="inlineStr">
        <is>
          <t>NYJ</t>
        </is>
      </c>
      <c r="E23" s="11" t="inlineStr">
        <is>
          <t>K</t>
        </is>
      </c>
      <c r="F23" s="6" t="n"/>
      <c r="G23" s="6" t="n"/>
      <c r="H23" s="6" t="n"/>
      <c r="I23" s="6" t="n">
        <v>29</v>
      </c>
      <c r="J23" s="6" t="n">
        <v>35</v>
      </c>
      <c r="K23" s="6" t="n"/>
      <c r="L23" s="6" t="n"/>
      <c r="M23" s="7">
        <f>F23*Settings!$B$4+G23*Settings!$B$5+H23*Settings!$B$6+I23*Settings!$B$7+J23*Settings!$B$8+K23*Settings!$B$9+L23*Settings!$B$10</f>
        <v/>
      </c>
      <c r="N23" s="8">
        <f>M23-INDEX(Settings!$G$4:$G$9,MATCH($E23,Settings!$F$4:$F$9,0))</f>
        <v/>
      </c>
      <c r="O23" s="7">
        <f>N23*INDEX(Settings!$H$4:$H$9,MATCH($E23,Settings!$F$4:$F$9,0))</f>
        <v/>
      </c>
      <c r="P23" s="3" t="inlineStr">
        <is>
          <t>HIGH</t>
        </is>
      </c>
      <c r="Q23" s="5" t="inlineStr">
        <is>
          <t>Won job; York waived</t>
        </is>
      </c>
    </row>
    <row r="24">
      <c r="A24" s="3" t="n">
        <v>169</v>
      </c>
      <c r="B24" s="11" t="inlineStr">
        <is>
          <t>K22</t>
        </is>
      </c>
      <c r="C24" s="5" t="inlineStr">
        <is>
          <t>Joey Slye</t>
        </is>
      </c>
      <c r="D24" s="3" t="inlineStr">
        <is>
          <t>TEN</t>
        </is>
      </c>
      <c r="E24" s="11" t="inlineStr">
        <is>
          <t>K</t>
        </is>
      </c>
      <c r="F24" s="6" t="n"/>
      <c r="G24" s="6" t="n"/>
      <c r="H24" s="6" t="n"/>
      <c r="I24" s="6" t="n">
        <v>29</v>
      </c>
      <c r="J24" s="6" t="n">
        <v>34</v>
      </c>
      <c r="K24" s="6" t="n"/>
      <c r="L24" s="6" t="n"/>
      <c r="M24" s="7">
        <f>F24*Settings!$B$4+G24*Settings!$B$5+H24*Settings!$B$6+I24*Settings!$B$7+J24*Settings!$B$8+K24*Settings!$B$9+L24*Settings!$B$10</f>
        <v/>
      </c>
      <c r="N24" s="8">
        <f>M24-INDEX(Settings!$G$4:$G$9,MATCH($E24,Settings!$F$4:$F$9,0))</f>
        <v/>
      </c>
      <c r="O24" s="7">
        <f>N24*INDEX(Settings!$H$4:$H$9,MATCH($E24,Settings!$F$4:$F$9,0))</f>
        <v/>
      </c>
      <c r="P24" s="3" t="inlineStr">
        <is>
          <t>MEDIUM</t>
        </is>
      </c>
      <c r="Q24" s="5" t="inlineStr"/>
    </row>
    <row r="25">
      <c r="A25" s="3" t="n">
        <v>177</v>
      </c>
      <c r="B25" s="11" t="inlineStr">
        <is>
          <t>K23</t>
        </is>
      </c>
      <c r="C25" s="5" t="inlineStr">
        <is>
          <t>Andres Borregales</t>
        </is>
      </c>
      <c r="D25" s="3" t="inlineStr">
        <is>
          <t>NE</t>
        </is>
      </c>
      <c r="E25" s="11" t="inlineStr">
        <is>
          <t>K</t>
        </is>
      </c>
      <c r="F25" s="6" t="n"/>
      <c r="G25" s="6" t="n"/>
      <c r="H25" s="6" t="n"/>
      <c r="I25" s="6" t="n">
        <v>26</v>
      </c>
      <c r="J25" s="6" t="n">
        <v>42</v>
      </c>
      <c r="K25" s="6" t="n"/>
      <c r="L25" s="6" t="n"/>
      <c r="M25" s="7">
        <f>F25*Settings!$B$4+G25*Settings!$B$5+H25*Settings!$B$6+I25*Settings!$B$7+J25*Settings!$B$8+K25*Settings!$B$9+L25*Settings!$B$10</f>
        <v/>
      </c>
      <c r="N25" s="8">
        <f>M25-INDEX(Settings!$G$4:$G$9,MATCH($E25,Settings!$F$4:$F$9,0))</f>
        <v/>
      </c>
      <c r="O25" s="7">
        <f>N25*INDEX(Settings!$H$4:$H$9,MATCH($E25,Settings!$F$4:$F$9,0))</f>
        <v/>
      </c>
      <c r="P25" s="3" t="inlineStr">
        <is>
          <t>MEDIUM</t>
        </is>
      </c>
      <c r="Q25" s="5" t="inlineStr"/>
    </row>
    <row r="26">
      <c r="A26" s="3" t="n">
        <v>178</v>
      </c>
      <c r="B26" s="11" t="inlineStr">
        <is>
          <t>K24</t>
        </is>
      </c>
      <c r="C26" s="5" t="inlineStr">
        <is>
          <t>Drew Stevens</t>
        </is>
      </c>
      <c r="D26" s="3" t="inlineStr">
        <is>
          <t>WAS</t>
        </is>
      </c>
      <c r="E26" s="11" t="inlineStr">
        <is>
          <t>K</t>
        </is>
      </c>
      <c r="F26" s="6" t="n"/>
      <c r="G26" s="6" t="n"/>
      <c r="H26" s="6" t="n"/>
      <c r="I26" s="6" t="n">
        <v>27</v>
      </c>
      <c r="J26" s="6" t="n">
        <v>39</v>
      </c>
      <c r="K26" s="6" t="n"/>
      <c r="L26" s="6" t="n"/>
      <c r="M26" s="7">
        <f>F26*Settings!$B$4+G26*Settings!$B$5+H26*Settings!$B$6+I26*Settings!$B$7+J26*Settings!$B$8+K26*Settings!$B$9+L26*Settings!$B$10</f>
        <v/>
      </c>
      <c r="N26" s="8">
        <f>M26-INDEX(Settings!$G$4:$G$9,MATCH($E26,Settings!$F$4:$F$9,0))</f>
        <v/>
      </c>
      <c r="O26" s="7">
        <f>N26*INDEX(Settings!$H$4:$H$9,MATCH($E26,Settings!$F$4:$F$9,0))</f>
        <v/>
      </c>
      <c r="P26" s="3" t="inlineStr">
        <is>
          <t>LOW</t>
        </is>
      </c>
      <c r="Q26" s="5" t="inlineStr">
        <is>
          <t>Rookie</t>
        </is>
      </c>
    </row>
    <row r="27">
      <c r="A27" s="3" t="n">
        <v>185</v>
      </c>
      <c r="B27" s="11" t="inlineStr">
        <is>
          <t>K25</t>
        </is>
      </c>
      <c r="C27" s="5" t="inlineStr">
        <is>
          <t>Riley Patterson</t>
        </is>
      </c>
      <c r="D27" s="3" t="inlineStr">
        <is>
          <t>MIA</t>
        </is>
      </c>
      <c r="E27" s="11" t="inlineStr">
        <is>
          <t>K</t>
        </is>
      </c>
      <c r="F27" s="6" t="n"/>
      <c r="G27" s="6" t="n"/>
      <c r="H27" s="6" t="n"/>
      <c r="I27" s="6" t="n">
        <v>27</v>
      </c>
      <c r="J27" s="6" t="n">
        <v>38</v>
      </c>
      <c r="K27" s="6" t="n"/>
      <c r="L27" s="6" t="n"/>
      <c r="M27" s="7">
        <f>F27*Settings!$B$4+G27*Settings!$B$5+H27*Settings!$B$6+I27*Settings!$B$7+J27*Settings!$B$8+K27*Settings!$B$9+L27*Settings!$B$10</f>
        <v/>
      </c>
      <c r="N27" s="8">
        <f>M27-INDEX(Settings!$G$4:$G$9,MATCH($E27,Settings!$F$4:$F$9,0))</f>
        <v/>
      </c>
      <c r="O27" s="7">
        <f>N27*INDEX(Settings!$H$4:$H$9,MATCH($E27,Settings!$F$4:$F$9,0))</f>
        <v/>
      </c>
      <c r="P27" s="3" t="inlineStr">
        <is>
          <t>LOW</t>
        </is>
      </c>
      <c r="Q27" s="5" t="inlineStr">
        <is>
          <t>Zane Gonzalez on roster</t>
        </is>
      </c>
    </row>
    <row r="28">
      <c r="A28" s="3" t="n">
        <v>186</v>
      </c>
      <c r="B28" s="11" t="inlineStr">
        <is>
          <t>K26</t>
        </is>
      </c>
      <c r="C28" s="5" t="inlineStr">
        <is>
          <t>Jake Elliott</t>
        </is>
      </c>
      <c r="D28" s="3" t="inlineStr">
        <is>
          <t>PHI</t>
        </is>
      </c>
      <c r="E28" s="11" t="inlineStr">
        <is>
          <t>K</t>
        </is>
      </c>
      <c r="F28" s="6" t="n"/>
      <c r="G28" s="6" t="n"/>
      <c r="H28" s="6" t="n"/>
      <c r="I28" s="6" t="n">
        <v>26</v>
      </c>
      <c r="J28" s="6" t="n">
        <v>41</v>
      </c>
      <c r="K28" s="6" t="n"/>
      <c r="L28" s="6" t="n"/>
      <c r="M28" s="7">
        <f>F28*Settings!$B$4+G28*Settings!$B$5+H28*Settings!$B$6+I28*Settings!$B$7+J28*Settings!$B$8+K28*Settings!$B$9+L28*Settings!$B$10</f>
        <v/>
      </c>
      <c r="N28" s="8">
        <f>M28-INDEX(Settings!$G$4:$G$9,MATCH($E28,Settings!$F$4:$F$9,0))</f>
        <v/>
      </c>
      <c r="O28" s="7">
        <f>N28*INDEX(Settings!$H$4:$H$9,MATCH($E28,Settings!$F$4:$F$9,0))</f>
        <v/>
      </c>
      <c r="P28" s="3" t="inlineStr">
        <is>
          <t>MEDIUM</t>
        </is>
      </c>
      <c r="Q28" s="5" t="inlineStr">
        <is>
          <t>74.1 pct in 2025 (worst); PHI best RZ TD pct</t>
        </is>
      </c>
    </row>
    <row r="29">
      <c r="A29" s="3" t="n">
        <v>193</v>
      </c>
      <c r="B29" s="11" t="inlineStr">
        <is>
          <t>K27</t>
        </is>
      </c>
      <c r="C29" s="5" t="inlineStr">
        <is>
          <t>Chad Ryland</t>
        </is>
      </c>
      <c r="D29" s="3" t="inlineStr">
        <is>
          <t>ARI</t>
        </is>
      </c>
      <c r="E29" s="11" t="inlineStr">
        <is>
          <t>K</t>
        </is>
      </c>
      <c r="F29" s="6" t="n"/>
      <c r="G29" s="6" t="n"/>
      <c r="H29" s="6" t="n"/>
      <c r="I29" s="6" t="n">
        <v>26</v>
      </c>
      <c r="J29" s="6" t="n">
        <v>37</v>
      </c>
      <c r="K29" s="6" t="n"/>
      <c r="L29" s="6" t="n"/>
      <c r="M29" s="7">
        <f>F29*Settings!$B$4+G29*Settings!$B$5+H29*Settings!$B$6+I29*Settings!$B$7+J29*Settings!$B$8+K29*Settings!$B$9+L29*Settings!$B$10</f>
        <v/>
      </c>
      <c r="N29" s="8">
        <f>M29-INDEX(Settings!$G$4:$G$9,MATCH($E29,Settings!$F$4:$F$9,0))</f>
        <v/>
      </c>
      <c r="O29" s="7">
        <f>N29*INDEX(Settings!$H$4:$H$9,MATCH($E29,Settings!$F$4:$F$9,0))</f>
        <v/>
      </c>
      <c r="P29" s="3" t="inlineStr">
        <is>
          <t>MEDIUM</t>
        </is>
      </c>
      <c r="Q29" s="5" t="inlineStr">
        <is>
          <t>ARI 4.5 win total</t>
        </is>
      </c>
    </row>
    <row r="30">
      <c r="A30" s="3" t="n">
        <v>194</v>
      </c>
      <c r="B30" s="11" t="inlineStr">
        <is>
          <t>K28</t>
        </is>
      </c>
      <c r="C30" s="5" t="inlineStr">
        <is>
          <t>Giants Kicker</t>
        </is>
      </c>
      <c r="D30" s="3" t="inlineStr">
        <is>
          <t>NYG</t>
        </is>
      </c>
      <c r="E30" s="11" t="inlineStr">
        <is>
          <t>K</t>
        </is>
      </c>
      <c r="F30" s="6" t="n"/>
      <c r="G30" s="6" t="n"/>
      <c r="H30" s="6" t="n"/>
      <c r="I30" s="6" t="n">
        <v>27</v>
      </c>
      <c r="J30" s="6" t="n">
        <v>34</v>
      </c>
      <c r="K30" s="6" t="n"/>
      <c r="L30" s="6" t="n"/>
      <c r="M30" s="7">
        <f>F30*Settings!$B$4+G30*Settings!$B$5+H30*Settings!$B$6+I30*Settings!$B$7+J30*Settings!$B$8+K30*Settings!$B$9+L30*Settings!$B$10</f>
        <v/>
      </c>
      <c r="N30" s="8">
        <f>M30-INDEX(Settings!$G$4:$G$9,MATCH($E30,Settings!$F$4:$F$9,0))</f>
        <v/>
      </c>
      <c r="O30" s="7">
        <f>N30*INDEX(Settings!$H$4:$H$9,MATCH($E30,Settings!$F$4:$F$9,0))</f>
        <v/>
      </c>
      <c r="P30" s="3" t="inlineStr">
        <is>
          <t>LOW</t>
        </is>
      </c>
      <c r="Q30" s="5" t="inlineStr">
        <is>
          <t>Open battle Sauls vs Zvada; avoid</t>
        </is>
      </c>
    </row>
    <row r="31">
      <c r="A31" s="3" t="n">
        <v>207</v>
      </c>
      <c r="B31" s="11" t="inlineStr">
        <is>
          <t>K29</t>
        </is>
      </c>
      <c r="C31" s="5" t="inlineStr">
        <is>
          <t>Chris Boswell</t>
        </is>
      </c>
      <c r="D31" s="3" t="inlineStr">
        <is>
          <t>PIT</t>
        </is>
      </c>
      <c r="E31" s="11" t="inlineStr">
        <is>
          <t>K</t>
        </is>
      </c>
      <c r="F31" s="6" t="n"/>
      <c r="G31" s="6" t="n"/>
      <c r="H31" s="6" t="n"/>
      <c r="I31" s="6" t="n">
        <v>25</v>
      </c>
      <c r="J31" s="6" t="n">
        <v>36</v>
      </c>
      <c r="K31" s="6" t="n"/>
      <c r="L31" s="6" t="n"/>
      <c r="M31" s="7">
        <f>F31*Settings!$B$4+G31*Settings!$B$5+H31*Settings!$B$6+I31*Settings!$B$7+J31*Settings!$B$8+K31*Settings!$B$9+L31*Settings!$B$10</f>
        <v/>
      </c>
      <c r="N31" s="8">
        <f>M31-INDEX(Settings!$G$4:$G$9,MATCH($E31,Settings!$F$4:$F$9,0))</f>
        <v/>
      </c>
      <c r="O31" s="7">
        <f>N31*INDEX(Settings!$H$4:$H$9,MATCH($E31,Settings!$F$4:$F$9,0))</f>
        <v/>
      </c>
      <c r="P31" s="3" t="inlineStr">
        <is>
          <t>MEDIUM</t>
        </is>
      </c>
      <c r="Q31" s="5" t="inlineStr"/>
    </row>
    <row r="32">
      <c r="A32" s="3" t="n">
        <v>219</v>
      </c>
      <c r="B32" s="11" t="inlineStr">
        <is>
          <t>K30</t>
        </is>
      </c>
      <c r="C32" s="5" t="inlineStr">
        <is>
          <t>Ryan Fitzgerald</t>
        </is>
      </c>
      <c r="D32" s="3" t="inlineStr">
        <is>
          <t>CAR</t>
        </is>
      </c>
      <c r="E32" s="11" t="inlineStr">
        <is>
          <t>K</t>
        </is>
      </c>
      <c r="F32" s="6" t="n"/>
      <c r="G32" s="6" t="n"/>
      <c r="H32" s="6" t="n"/>
      <c r="I32" s="6" t="n">
        <v>24</v>
      </c>
      <c r="J32" s="6" t="n">
        <v>34</v>
      </c>
      <c r="K32" s="6" t="n"/>
      <c r="L32" s="6" t="n"/>
      <c r="M32" s="7">
        <f>F32*Settings!$B$4+G32*Settings!$B$5+H32*Settings!$B$6+I32*Settings!$B$7+J32*Settings!$B$8+K32*Settings!$B$9+L32*Settings!$B$10</f>
        <v/>
      </c>
      <c r="N32" s="8">
        <f>M32-INDEX(Settings!$G$4:$G$9,MATCH($E32,Settings!$F$4:$F$9,0))</f>
        <v/>
      </c>
      <c r="O32" s="7">
        <f>N32*INDEX(Settings!$H$4:$H$9,MATCH($E32,Settings!$F$4:$F$9,0))</f>
        <v/>
      </c>
      <c r="P32" s="3" t="inlineStr">
        <is>
          <t>LOW</t>
        </is>
      </c>
      <c r="Q32" s="5" t="inlineStr"/>
    </row>
    <row r="33">
      <c r="A33" s="3" t="n">
        <v>234</v>
      </c>
      <c r="B33" s="11" t="inlineStr">
        <is>
          <t>K31</t>
        </is>
      </c>
      <c r="C33" s="5" t="inlineStr">
        <is>
          <t>Matt Gay</t>
        </is>
      </c>
      <c r="D33" s="3" t="inlineStr">
        <is>
          <t>LV</t>
        </is>
      </c>
      <c r="E33" s="11" t="inlineStr">
        <is>
          <t>K</t>
        </is>
      </c>
      <c r="F33" s="6" t="n"/>
      <c r="G33" s="6" t="n"/>
      <c r="H33" s="6" t="n"/>
      <c r="I33" s="6" t="n">
        <v>23</v>
      </c>
      <c r="J33" s="6" t="n">
        <v>32</v>
      </c>
      <c r="K33" s="6" t="n"/>
      <c r="L33" s="6" t="n"/>
      <c r="M33" s="7">
        <f>F33*Settings!$B$4+G33*Settings!$B$5+H33*Settings!$B$6+I33*Settings!$B$7+J33*Settings!$B$8+K33*Settings!$B$9+L33*Settings!$B$10</f>
        <v/>
      </c>
      <c r="N33" s="8">
        <f>M33-INDEX(Settings!$G$4:$G$9,MATCH($E33,Settings!$F$4:$F$9,0))</f>
        <v/>
      </c>
      <c r="O33" s="7">
        <f>N33*INDEX(Settings!$H$4:$H$9,MATCH($E33,Settings!$F$4:$F$9,0))</f>
        <v/>
      </c>
      <c r="P33" s="3" t="inlineStr">
        <is>
          <t>MEDIUM</t>
        </is>
      </c>
      <c r="Q33" s="5" t="inlineStr">
        <is>
          <t>LV 5.5 win total</t>
        </is>
      </c>
    </row>
    <row r="34">
      <c r="A34" s="3" t="n">
        <v>235</v>
      </c>
      <c r="B34" s="11" t="inlineStr">
        <is>
          <t>K32</t>
        </is>
      </c>
      <c r="C34" s="5" t="inlineStr">
        <is>
          <t>Andre Szmyt</t>
        </is>
      </c>
      <c r="D34" s="3" t="inlineStr">
        <is>
          <t>CLE</t>
        </is>
      </c>
      <c r="E34" s="11" t="inlineStr">
        <is>
          <t>K</t>
        </is>
      </c>
      <c r="F34" s="6" t="n"/>
      <c r="G34" s="6" t="n"/>
      <c r="H34" s="6" t="n"/>
      <c r="I34" s="6" t="n">
        <v>23</v>
      </c>
      <c r="J34" s="6" t="n">
        <v>32</v>
      </c>
      <c r="K34" s="6" t="n"/>
      <c r="L34" s="6" t="n"/>
      <c r="M34" s="7">
        <f>F34*Settings!$B$4+G34*Settings!$B$5+H34*Settings!$B$6+I34*Settings!$B$7+J34*Settings!$B$8+K34*Settings!$B$9+L34*Settings!$B$10</f>
        <v/>
      </c>
      <c r="N34" s="8">
        <f>M34-INDEX(Settings!$G$4:$G$9,MATCH($E34,Settings!$F$4:$F$9,0))</f>
        <v/>
      </c>
      <c r="O34" s="7">
        <f>N34*INDEX(Settings!$H$4:$H$9,MATCH($E34,Settings!$F$4:$F$9,0))</f>
        <v/>
      </c>
      <c r="P34" s="3" t="inlineStr">
        <is>
          <t>LOW</t>
        </is>
      </c>
      <c r="Q34" s="5" t="inlineStr">
        <is>
          <t>CLE 7.8 win total</t>
        </is>
      </c>
    </row>
  </sheetData>
  <autoFilter ref="A2:Q34"/>
  <mergeCells count="1">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4" customWidth="1" min="3" max="3"/>
    <col width="5" customWidth="1" min="4" max="4"/>
    <col width="5" customWidth="1" min="5" max="5"/>
    <col width="8" customWidth="1" min="6" max="6"/>
    <col width="8" customWidth="1" min="7" max="7"/>
    <col width="8" customWidth="1" min="8" max="8"/>
    <col width="6" customWidth="1" min="9" max="9"/>
    <col width="6" customWidth="1" min="10" max="10"/>
    <col width="7" customWidth="1" min="11" max="11"/>
    <col width="6" customWidth="1" min="12" max="12"/>
    <col width="9" customWidth="1" min="13" max="13"/>
    <col width="8" customWidth="1" min="14" max="14"/>
    <col width="9" customWidth="1" min="15" max="15"/>
    <col width="8" customWidth="1" min="16" max="16"/>
    <col width="62" customWidth="1" min="17" max="17"/>
  </cols>
  <sheetData>
    <row r="1" ht="20" customHeight="1">
      <c r="A1" s="1" t="inlineStr">
        <is>
          <t>DEF — ranked by projected points</t>
        </is>
      </c>
    </row>
    <row r="2" ht="26" customHeight="1">
      <c r="A2" s="2" t="inlineStr">
        <is>
          <t>Rank</t>
        </is>
      </c>
      <c r="B2" s="2" t="inlineStr">
        <is>
          <t>Pos</t>
        </is>
      </c>
      <c r="C2" s="2" t="inlineStr">
        <is>
          <t>Player</t>
        </is>
      </c>
      <c r="D2" s="2" t="inlineStr">
        <is>
          <t>Tm</t>
        </is>
      </c>
      <c r="E2" s="2" t="inlineStr">
        <is>
          <t>P</t>
        </is>
      </c>
      <c r="F2" s="2" t="inlineStr">
        <is>
          <t>PassTD</t>
        </is>
      </c>
      <c r="G2" s="2" t="inlineStr">
        <is>
          <t>RushTD</t>
        </is>
      </c>
      <c r="H2" s="2" t="inlineStr">
        <is>
          <t>RecTD</t>
        </is>
      </c>
      <c r="I2" s="2" t="inlineStr">
        <is>
          <t>FG</t>
        </is>
      </c>
      <c r="J2" s="2" t="inlineStr">
        <is>
          <t>PAT</t>
        </is>
      </c>
      <c r="K2" s="2" t="inlineStr">
        <is>
          <t>DefTD</t>
        </is>
      </c>
      <c r="L2" s="2" t="inlineStr">
        <is>
          <t>Saf</t>
        </is>
      </c>
      <c r="M2" s="2" t="inlineStr">
        <is>
          <t>Points</t>
        </is>
      </c>
      <c r="N2" s="2" t="inlineStr">
        <is>
          <t>VOR</t>
        </is>
      </c>
      <c r="O2" s="2" t="inlineStr">
        <is>
          <t>Adj VOR</t>
        </is>
      </c>
      <c r="P2" s="2" t="inlineStr">
        <is>
          <t>Conf</t>
        </is>
      </c>
      <c r="Q2" s="2" t="inlineStr">
        <is>
          <t>Notes</t>
        </is>
      </c>
    </row>
    <row r="3">
      <c r="A3" s="3" t="n">
        <v>85</v>
      </c>
      <c r="B3" s="13" t="inlineStr">
        <is>
          <t>DST1</t>
        </is>
      </c>
      <c r="C3" s="5" t="inlineStr">
        <is>
          <t>Seahawks D/ST</t>
        </is>
      </c>
      <c r="D3" s="3" t="inlineStr">
        <is>
          <t>SEA</t>
        </is>
      </c>
      <c r="E3" s="13" t="inlineStr">
        <is>
          <t>DST</t>
        </is>
      </c>
      <c r="F3" s="6" t="n"/>
      <c r="G3" s="6" t="n"/>
      <c r="H3" s="6" t="n"/>
      <c r="I3" s="6" t="n"/>
      <c r="J3" s="6" t="n"/>
      <c r="K3" s="6" t="n">
        <v>3.47</v>
      </c>
      <c r="L3" s="6" t="n">
        <v>0.5</v>
      </c>
      <c r="M3" s="7">
        <f>F3*Settings!$B$4+G3*Settings!$B$5+H3*Settings!$B$6+I3*Settings!$B$7+J3*Settings!$B$8+K3*Settings!$B$9+L3*Settings!$B$10</f>
        <v/>
      </c>
      <c r="N3" s="8">
        <f>M3-INDEX(Settings!$G$4:$G$9,MATCH($E3,Settings!$F$4:$F$9,0))</f>
        <v/>
      </c>
      <c r="O3" s="7">
        <f>N3*INDEX(Settings!$H$4:$H$9,MATCH($E3,Settings!$F$4:$F$9,0))</f>
        <v/>
      </c>
      <c r="P3" s="3" t="inlineStr">
        <is>
          <t>MEDIUM</t>
        </is>
      </c>
      <c r="Q3" s="5" t="inlineStr">
        <is>
          <t>Only team with 3+ def TD all 3 yrs; Tory Horton PR</t>
        </is>
      </c>
    </row>
    <row r="4">
      <c r="A4" s="3" t="n">
        <v>88</v>
      </c>
      <c r="B4" s="13" t="inlineStr">
        <is>
          <t>DST2</t>
        </is>
      </c>
      <c r="C4" s="5" t="inlineStr">
        <is>
          <t>Cowboys D/ST</t>
        </is>
      </c>
      <c r="D4" s="3" t="inlineStr">
        <is>
          <t>DAL</t>
        </is>
      </c>
      <c r="E4" s="13" t="inlineStr">
        <is>
          <t>DST</t>
        </is>
      </c>
      <c r="F4" s="6" t="n"/>
      <c r="G4" s="6" t="n"/>
      <c r="H4" s="6" t="n"/>
      <c r="I4" s="6" t="n"/>
      <c r="J4" s="6" t="n"/>
      <c r="K4" s="6" t="n">
        <v>3.14</v>
      </c>
      <c r="L4" s="6" t="n">
        <v>0.45</v>
      </c>
      <c r="M4" s="7">
        <f>F4*Settings!$B$4+G4*Settings!$B$5+H4*Settings!$B$6+I4*Settings!$B$7+J4*Settings!$B$8+K4*Settings!$B$9+L4*Settings!$B$10</f>
        <v/>
      </c>
      <c r="N4" s="8">
        <f>M4-INDEX(Settings!$G$4:$G$9,MATCH($E4,Settings!$F$4:$F$9,0))</f>
        <v/>
      </c>
      <c r="O4" s="7">
        <f>N4*INDEX(Settings!$H$4:$H$9,MATCH($E4,Settings!$F$4:$F$9,0))</f>
        <v/>
      </c>
      <c r="P4" s="3" t="inlineStr">
        <is>
          <t>MEDIUM</t>
        </is>
      </c>
      <c r="Q4" s="5" t="inlineStr">
        <is>
          <t>KaVontae Turpin led NFL KR yds 2025</t>
        </is>
      </c>
    </row>
    <row r="5">
      <c r="A5" s="3" t="n">
        <v>95</v>
      </c>
      <c r="B5" s="13" t="inlineStr">
        <is>
          <t>DST3</t>
        </is>
      </c>
      <c r="C5" s="5" t="inlineStr">
        <is>
          <t>Texans D/ST</t>
        </is>
      </c>
      <c r="D5" s="3" t="inlineStr">
        <is>
          <t>HOU</t>
        </is>
      </c>
      <c r="E5" s="13" t="inlineStr">
        <is>
          <t>DST</t>
        </is>
      </c>
      <c r="F5" s="6" t="n"/>
      <c r="G5" s="6" t="n"/>
      <c r="H5" s="6" t="n"/>
      <c r="I5" s="6" t="n"/>
      <c r="J5" s="6" t="n"/>
      <c r="K5" s="6" t="n">
        <v>2.79</v>
      </c>
      <c r="L5" s="6" t="n">
        <v>0.65</v>
      </c>
      <c r="M5" s="7">
        <f>F5*Settings!$B$4+G5*Settings!$B$5+H5*Settings!$B$6+I5*Settings!$B$7+J5*Settings!$B$8+K5*Settings!$B$9+L5*Settings!$B$10</f>
        <v/>
      </c>
      <c r="N5" s="8">
        <f>M5-INDEX(Settings!$G$4:$G$9,MATCH($E5,Settings!$F$4:$F$9,0))</f>
        <v/>
      </c>
      <c r="O5" s="7">
        <f>N5*INDEX(Settings!$H$4:$H$9,MATCH($E5,Settings!$F$4:$F$9,0))</f>
        <v/>
      </c>
      <c r="P5" s="3" t="inlineStr">
        <is>
          <t>MEDIUM</t>
        </is>
      </c>
      <c r="Q5" s="5" t="inlineStr">
        <is>
          <t>3 FR TD in 2025; elite pass rush; weak returns</t>
        </is>
      </c>
    </row>
    <row r="6">
      <c r="A6" s="3" t="n">
        <v>96</v>
      </c>
      <c r="B6" s="13" t="inlineStr">
        <is>
          <t>DST4</t>
        </is>
      </c>
      <c r="C6" s="5" t="inlineStr">
        <is>
          <t>Browns D/ST</t>
        </is>
      </c>
      <c r="D6" s="3" t="inlineStr">
        <is>
          <t>CLE</t>
        </is>
      </c>
      <c r="E6" s="13" t="inlineStr">
        <is>
          <t>DST</t>
        </is>
      </c>
      <c r="F6" s="6" t="n"/>
      <c r="G6" s="6" t="n"/>
      <c r="H6" s="6" t="n"/>
      <c r="I6" s="6" t="n"/>
      <c r="J6" s="6" t="n"/>
      <c r="K6" s="6" t="n">
        <v>2.79</v>
      </c>
      <c r="L6" s="6" t="n">
        <v>0.6</v>
      </c>
      <c r="M6" s="7">
        <f>F6*Settings!$B$4+G6*Settings!$B$5+H6*Settings!$B$6+I6*Settings!$B$7+J6*Settings!$B$8+K6*Settings!$B$9+L6*Settings!$B$10</f>
        <v/>
      </c>
      <c r="N6" s="8">
        <f>M6-INDEX(Settings!$G$4:$G$9,MATCH($E6,Settings!$F$4:$F$9,0))</f>
        <v/>
      </c>
      <c r="O6" s="7">
        <f>N6*INDEX(Settings!$H$4:$H$9,MATCH($E6,Settings!$F$4:$F$9,0))</f>
        <v/>
      </c>
      <c r="P6" s="3" t="inlineStr">
        <is>
          <t>MEDIUM</t>
        </is>
      </c>
      <c r="Q6" s="5" t="inlineStr">
        <is>
          <t>3 INT TD on only 11 INTs; bad offense = more snaps</t>
        </is>
      </c>
    </row>
    <row r="7">
      <c r="A7" s="3" t="n">
        <v>97</v>
      </c>
      <c r="B7" s="13" t="inlineStr">
        <is>
          <t>DST5</t>
        </is>
      </c>
      <c r="C7" s="5" t="inlineStr">
        <is>
          <t>Broncos D/ST</t>
        </is>
      </c>
      <c r="D7" s="3" t="inlineStr">
        <is>
          <t>DEN</t>
        </is>
      </c>
      <c r="E7" s="13" t="inlineStr">
        <is>
          <t>DST</t>
        </is>
      </c>
      <c r="F7" s="6" t="n"/>
      <c r="G7" s="6" t="n"/>
      <c r="H7" s="6" t="n"/>
      <c r="I7" s="6" t="n"/>
      <c r="J7" s="6" t="n"/>
      <c r="K7" s="6" t="n">
        <v>2.77</v>
      </c>
      <c r="L7" s="6" t="n">
        <v>0.65</v>
      </c>
      <c r="M7" s="7">
        <f>F7*Settings!$B$4+G7*Settings!$B$5+H7*Settings!$B$6+I7*Settings!$B$7+J7*Settings!$B$8+K7*Settings!$B$9+L7*Settings!$B$10</f>
        <v/>
      </c>
      <c r="N7" s="8">
        <f>M7-INDEX(Settings!$G$4:$G$9,MATCH($E7,Settings!$F$4:$F$9,0))</f>
        <v/>
      </c>
      <c r="O7" s="7">
        <f>N7*INDEX(Settings!$H$4:$H$9,MATCH($E7,Settings!$F$4:$F$9,0))</f>
        <v/>
      </c>
      <c r="P7" s="3" t="inlineStr">
        <is>
          <t>MEDIUM</t>
        </is>
      </c>
      <c r="Q7" s="5" t="inlineStr">
        <is>
          <t>Marvin Mims led PR yds 2025</t>
        </is>
      </c>
    </row>
    <row r="8">
      <c r="A8" s="3" t="n">
        <v>98</v>
      </c>
      <c r="B8" s="13" t="inlineStr">
        <is>
          <t>DST6</t>
        </is>
      </c>
      <c r="C8" s="5" t="inlineStr">
        <is>
          <t>Vikings D/ST</t>
        </is>
      </c>
      <c r="D8" s="3" t="inlineStr">
        <is>
          <t>MIN</t>
        </is>
      </c>
      <c r="E8" s="13" t="inlineStr">
        <is>
          <t>DST</t>
        </is>
      </c>
      <c r="F8" s="6" t="n"/>
      <c r="G8" s="6" t="n"/>
      <c r="H8" s="6" t="n"/>
      <c r="I8" s="6" t="n"/>
      <c r="J8" s="6" t="n"/>
      <c r="K8" s="6" t="n">
        <v>2.77</v>
      </c>
      <c r="L8" s="6" t="n">
        <v>0.6</v>
      </c>
      <c r="M8" s="7">
        <f>F8*Settings!$B$4+G8*Settings!$B$5+H8*Settings!$B$6+I8*Settings!$B$7+J8*Settings!$B$8+K8*Settings!$B$9+L8*Settings!$B$10</f>
        <v/>
      </c>
      <c r="N8" s="8">
        <f>M8-INDEX(Settings!$G$4:$G$9,MATCH($E8,Settings!$F$4:$F$9,0))</f>
        <v/>
      </c>
      <c r="O8" s="7">
        <f>N8*INDEX(Settings!$H$4:$H$9,MATCH($E8,Settings!$F$4:$F$9,0))</f>
        <v/>
      </c>
      <c r="P8" s="3" t="inlineStr">
        <is>
          <t>MEDIUM</t>
        </is>
      </c>
      <c r="Q8" s="5" t="inlineStr">
        <is>
          <t>Led NFL forced fumbles 2025</t>
        </is>
      </c>
    </row>
    <row r="9">
      <c r="A9" s="3" t="n">
        <v>99</v>
      </c>
      <c r="B9" s="13" t="inlineStr">
        <is>
          <t>DST7</t>
        </is>
      </c>
      <c r="C9" s="5" t="inlineStr">
        <is>
          <t>Bills D/ST</t>
        </is>
      </c>
      <c r="D9" s="3" t="inlineStr">
        <is>
          <t>BUF</t>
        </is>
      </c>
      <c r="E9" s="13" t="inlineStr">
        <is>
          <t>DST</t>
        </is>
      </c>
      <c r="F9" s="6" t="n"/>
      <c r="G9" s="6" t="n"/>
      <c r="H9" s="6" t="n"/>
      <c r="I9" s="6" t="n"/>
      <c r="J9" s="6" t="n"/>
      <c r="K9" s="6" t="n">
        <v>2.77</v>
      </c>
      <c r="L9" s="6" t="n">
        <v>0.5</v>
      </c>
      <c r="M9" s="7">
        <f>F9*Settings!$B$4+G9*Settings!$B$5+H9*Settings!$B$6+I9*Settings!$B$7+J9*Settings!$B$8+K9*Settings!$B$9+L9*Settings!$B$10</f>
        <v/>
      </c>
      <c r="N9" s="8">
        <f>M9-INDEX(Settings!$G$4:$G$9,MATCH($E9,Settings!$F$4:$F$9,0))</f>
        <v/>
      </c>
      <c r="O9" s="7">
        <f>N9*INDEX(Settings!$H$4:$H$9,MATCH($E9,Settings!$F$4:$F$9,0))</f>
        <v/>
      </c>
      <c r="P9" s="3" t="inlineStr">
        <is>
          <t>MEDIUM</t>
        </is>
      </c>
      <c r="Q9" s="5" t="inlineStr">
        <is>
          <t>Consistent 2-3 def TD/yr</t>
        </is>
      </c>
    </row>
    <row r="10">
      <c r="A10" s="3" t="n">
        <v>101</v>
      </c>
      <c r="B10" s="13" t="inlineStr">
        <is>
          <t>DST8</t>
        </is>
      </c>
      <c r="C10" s="5" t="inlineStr">
        <is>
          <t>Jaguars D/ST</t>
        </is>
      </c>
      <c r="D10" s="3" t="inlineStr">
        <is>
          <t>JAX</t>
        </is>
      </c>
      <c r="E10" s="13" t="inlineStr">
        <is>
          <t>DST</t>
        </is>
      </c>
      <c r="F10" s="6" t="n"/>
      <c r="G10" s="6" t="n"/>
      <c r="H10" s="6" t="n"/>
      <c r="I10" s="6" t="n"/>
      <c r="J10" s="6" t="n"/>
      <c r="K10" s="6" t="n">
        <v>2.63</v>
      </c>
      <c r="L10" s="6" t="n">
        <v>0.55</v>
      </c>
      <c r="M10" s="7">
        <f>F10*Settings!$B$4+G10*Settings!$B$5+H10*Settings!$B$6+I10*Settings!$B$7+J10*Settings!$B$8+K10*Settings!$B$9+L10*Settings!$B$10</f>
        <v/>
      </c>
      <c r="N10" s="8">
        <f>M10-INDEX(Settings!$G$4:$G$9,MATCH($E10,Settings!$F$4:$F$9,0))</f>
        <v/>
      </c>
      <c r="O10" s="7">
        <f>N10*INDEX(Settings!$H$4:$H$9,MATCH($E10,Settings!$F$4:$F$9,0))</f>
        <v/>
      </c>
      <c r="P10" s="3" t="inlineStr">
        <is>
          <t>MEDIUM</t>
        </is>
      </c>
      <c r="Q10" s="5" t="inlineStr">
        <is>
          <t>Parker Washington 3 PR TD in 2 yrs</t>
        </is>
      </c>
    </row>
    <row r="11">
      <c r="A11" s="3" t="n">
        <v>104</v>
      </c>
      <c r="B11" s="13" t="inlineStr">
        <is>
          <t>DST9</t>
        </is>
      </c>
      <c r="C11" s="5" t="inlineStr">
        <is>
          <t>Falcons D/ST</t>
        </is>
      </c>
      <c r="D11" s="3" t="inlineStr">
        <is>
          <t>ATL</t>
        </is>
      </c>
      <c r="E11" s="13" t="inlineStr">
        <is>
          <t>DST</t>
        </is>
      </c>
      <c r="F11" s="6" t="n"/>
      <c r="G11" s="6" t="n"/>
      <c r="H11" s="6" t="n"/>
      <c r="I11" s="6" t="n"/>
      <c r="J11" s="6" t="n"/>
      <c r="K11" s="6" t="n">
        <v>2.6</v>
      </c>
      <c r="L11" s="6" t="n">
        <v>0.5</v>
      </c>
      <c r="M11" s="7">
        <f>F11*Settings!$B$4+G11*Settings!$B$5+H11*Settings!$B$6+I11*Settings!$B$7+J11*Settings!$B$8+K11*Settings!$B$9+L11*Settings!$B$10</f>
        <v/>
      </c>
      <c r="N11" s="8">
        <f>M11-INDEX(Settings!$G$4:$G$9,MATCH($E11,Settings!$F$4:$F$9,0))</f>
        <v/>
      </c>
      <c r="O11" s="7">
        <f>N11*INDEX(Settings!$H$4:$H$9,MATCH($E11,Settings!$F$4:$F$9,0))</f>
        <v/>
      </c>
      <c r="P11" s="3" t="inlineStr">
        <is>
          <t>MEDIUM</t>
        </is>
      </c>
      <c r="Q11" s="5" t="inlineStr">
        <is>
          <t>4 def TD in 2024; Branch return upside</t>
        </is>
      </c>
    </row>
    <row r="12">
      <c r="A12" s="3" t="n">
        <v>105</v>
      </c>
      <c r="B12" s="13" t="inlineStr">
        <is>
          <t>DST10</t>
        </is>
      </c>
      <c r="C12" s="5" t="inlineStr">
        <is>
          <t>Steelers D/ST</t>
        </is>
      </c>
      <c r="D12" s="3" t="inlineStr">
        <is>
          <t>PIT</t>
        </is>
      </c>
      <c r="E12" s="13" t="inlineStr">
        <is>
          <t>DST</t>
        </is>
      </c>
      <c r="F12" s="6" t="n"/>
      <c r="G12" s="6" t="n"/>
      <c r="H12" s="6" t="n"/>
      <c r="I12" s="6" t="n"/>
      <c r="J12" s="6" t="n"/>
      <c r="K12" s="6" t="n">
        <v>2.45</v>
      </c>
      <c r="L12" s="6" t="n">
        <v>0.6</v>
      </c>
      <c r="M12" s="7">
        <f>F12*Settings!$B$4+G12*Settings!$B$5+H12*Settings!$B$6+I12*Settings!$B$7+J12*Settings!$B$8+K12*Settings!$B$9+L12*Settings!$B$10</f>
        <v/>
      </c>
      <c r="N12" s="8">
        <f>M12-INDEX(Settings!$G$4:$G$9,MATCH($E12,Settings!$F$4:$F$9,0))</f>
        <v/>
      </c>
      <c r="O12" s="7">
        <f>N12*INDEX(Settings!$H$4:$H$9,MATCH($E12,Settings!$F$4:$F$9,0))</f>
        <v/>
      </c>
      <c r="P12" s="3" t="inlineStr">
        <is>
          <t>MEDIUM</t>
        </is>
      </c>
      <c r="Q12" s="5" t="inlineStr">
        <is>
          <t>3 def TD 2025</t>
        </is>
      </c>
    </row>
    <row r="13">
      <c r="A13" s="3" t="n">
        <v>106</v>
      </c>
      <c r="B13" s="13" t="inlineStr">
        <is>
          <t>DST11</t>
        </is>
      </c>
      <c r="C13" s="5" t="inlineStr">
        <is>
          <t>Patriots D/ST</t>
        </is>
      </c>
      <c r="D13" s="3" t="inlineStr">
        <is>
          <t>NE</t>
        </is>
      </c>
      <c r="E13" s="13" t="inlineStr">
        <is>
          <t>DST</t>
        </is>
      </c>
      <c r="F13" s="6" t="n"/>
      <c r="G13" s="6" t="n"/>
      <c r="H13" s="6" t="n"/>
      <c r="I13" s="6" t="n"/>
      <c r="J13" s="6" t="n"/>
      <c r="K13" s="6" t="n">
        <v>2.47</v>
      </c>
      <c r="L13" s="6" t="n">
        <v>0.5</v>
      </c>
      <c r="M13" s="7">
        <f>F13*Settings!$B$4+G13*Settings!$B$5+H13*Settings!$B$6+I13*Settings!$B$7+J13*Settings!$B$8+K13*Settings!$B$9+L13*Settings!$B$10</f>
        <v/>
      </c>
      <c r="N13" s="8">
        <f>M13-INDEX(Settings!$G$4:$G$9,MATCH($E13,Settings!$F$4:$F$9,0))</f>
        <v/>
      </c>
      <c r="O13" s="7">
        <f>N13*INDEX(Settings!$H$4:$H$9,MATCH($E13,Settings!$F$4:$F$9,0))</f>
        <v/>
      </c>
      <c r="P13" s="3" t="inlineStr">
        <is>
          <t>MEDIUM</t>
        </is>
      </c>
      <c r="Q13" s="5" t="inlineStr">
        <is>
          <t>Marcus Jones 2 PR TD 2025; best PR unit</t>
        </is>
      </c>
    </row>
    <row r="14">
      <c r="A14" s="3" t="n">
        <v>107</v>
      </c>
      <c r="B14" s="13" t="inlineStr">
        <is>
          <t>DST12</t>
        </is>
      </c>
      <c r="C14" s="5" t="inlineStr">
        <is>
          <t>Raiders D/ST</t>
        </is>
      </c>
      <c r="D14" s="3" t="inlineStr">
        <is>
          <t>LV</t>
        </is>
      </c>
      <c r="E14" s="13" t="inlineStr">
        <is>
          <t>DST</t>
        </is>
      </c>
      <c r="F14" s="6" t="n"/>
      <c r="G14" s="6" t="n"/>
      <c r="H14" s="6" t="n"/>
      <c r="I14" s="6" t="n"/>
      <c r="J14" s="6" t="n"/>
      <c r="K14" s="6" t="n">
        <v>2.45</v>
      </c>
      <c r="L14" s="6" t="n">
        <v>0.55</v>
      </c>
      <c r="M14" s="7">
        <f>F14*Settings!$B$4+G14*Settings!$B$5+H14*Settings!$B$6+I14*Settings!$B$7+J14*Settings!$B$8+K14*Settings!$B$9+L14*Settings!$B$10</f>
        <v/>
      </c>
      <c r="N14" s="8">
        <f>M14-INDEX(Settings!$G$4:$G$9,MATCH($E14,Settings!$F$4:$F$9,0))</f>
        <v/>
      </c>
      <c r="O14" s="7">
        <f>N14*INDEX(Settings!$H$4:$H$9,MATCH($E14,Settings!$F$4:$F$9,0))</f>
        <v/>
      </c>
      <c r="P14" s="3" t="inlineStr">
        <is>
          <t>LOW</t>
        </is>
      </c>
      <c r="Q14" s="5" t="inlineStr">
        <is>
          <t>5 def TD in 2023 then 1 then 0</t>
        </is>
      </c>
    </row>
    <row r="15">
      <c r="A15" s="3" t="n">
        <v>108</v>
      </c>
      <c r="B15" s="13" t="inlineStr">
        <is>
          <t>DST13</t>
        </is>
      </c>
      <c r="C15" s="5" t="inlineStr">
        <is>
          <t>Colts D/ST</t>
        </is>
      </c>
      <c r="D15" s="3" t="inlineStr">
        <is>
          <t>IND</t>
        </is>
      </c>
      <c r="E15" s="13" t="inlineStr">
        <is>
          <t>DST</t>
        </is>
      </c>
      <c r="F15" s="6" t="n"/>
      <c r="G15" s="6" t="n"/>
      <c r="H15" s="6" t="n"/>
      <c r="I15" s="6" t="n"/>
      <c r="J15" s="6" t="n"/>
      <c r="K15" s="6" t="n">
        <v>2.45</v>
      </c>
      <c r="L15" s="6" t="n">
        <v>0.5</v>
      </c>
      <c r="M15" s="7">
        <f>F15*Settings!$B$4+G15*Settings!$B$5+H15*Settings!$B$6+I15*Settings!$B$7+J15*Settings!$B$8+K15*Settings!$B$9+L15*Settings!$B$10</f>
        <v/>
      </c>
      <c r="N15" s="8">
        <f>M15-INDEX(Settings!$G$4:$G$9,MATCH($E15,Settings!$F$4:$F$9,0))</f>
        <v/>
      </c>
      <c r="O15" s="7">
        <f>N15*INDEX(Settings!$H$4:$H$9,MATCH($E15,Settings!$F$4:$F$9,0))</f>
        <v/>
      </c>
      <c r="P15" s="3" t="inlineStr">
        <is>
          <t>MEDIUM</t>
        </is>
      </c>
      <c r="Q15" s="5" t="inlineStr"/>
    </row>
    <row r="16">
      <c r="A16" s="3" t="n">
        <v>109</v>
      </c>
      <c r="B16" s="13" t="inlineStr">
        <is>
          <t>DST14</t>
        </is>
      </c>
      <c r="C16" s="5" t="inlineStr">
        <is>
          <t>Ravens D/ST</t>
        </is>
      </c>
      <c r="D16" s="3" t="inlineStr">
        <is>
          <t>BAL</t>
        </is>
      </c>
      <c r="E16" s="13" t="inlineStr">
        <is>
          <t>DST</t>
        </is>
      </c>
      <c r="F16" s="6" t="n"/>
      <c r="G16" s="6" t="n"/>
      <c r="H16" s="6" t="n"/>
      <c r="I16" s="6" t="n"/>
      <c r="J16" s="6" t="n"/>
      <c r="K16" s="6" t="n">
        <v>2.43</v>
      </c>
      <c r="L16" s="6" t="n">
        <v>0.55</v>
      </c>
      <c r="M16" s="7">
        <f>F16*Settings!$B$4+G16*Settings!$B$5+H16*Settings!$B$6+I16*Settings!$B$7+J16*Settings!$B$8+K16*Settings!$B$9+L16*Settings!$B$10</f>
        <v/>
      </c>
      <c r="N16" s="8">
        <f>M16-INDEX(Settings!$G$4:$G$9,MATCH($E16,Settings!$F$4:$F$9,0))</f>
        <v/>
      </c>
      <c r="O16" s="7">
        <f>N16*INDEX(Settings!$H$4:$H$9,MATCH($E16,Settings!$F$4:$F$9,0))</f>
        <v/>
      </c>
      <c r="P16" s="3" t="inlineStr">
        <is>
          <t>MEDIUM</t>
        </is>
      </c>
      <c r="Q16" s="5" t="inlineStr">
        <is>
          <t>Steady 1-2/yr</t>
        </is>
      </c>
    </row>
    <row r="17">
      <c r="A17" s="3" t="n">
        <v>110</v>
      </c>
      <c r="B17" s="13" t="inlineStr">
        <is>
          <t>DST15</t>
        </is>
      </c>
      <c r="C17" s="5" t="inlineStr">
        <is>
          <t>Bears D/ST</t>
        </is>
      </c>
      <c r="D17" s="3" t="inlineStr">
        <is>
          <t>CHI</t>
        </is>
      </c>
      <c r="E17" s="13" t="inlineStr">
        <is>
          <t>DST</t>
        </is>
      </c>
      <c r="F17" s="6" t="n"/>
      <c r="G17" s="6" t="n"/>
      <c r="H17" s="6" t="n"/>
      <c r="I17" s="6" t="n"/>
      <c r="J17" s="6" t="n"/>
      <c r="K17" s="6" t="n">
        <v>2.43</v>
      </c>
      <c r="L17" s="6" t="n">
        <v>0.5</v>
      </c>
      <c r="M17" s="7">
        <f>F17*Settings!$B$4+G17*Settings!$B$5+H17*Settings!$B$6+I17*Settings!$B$7+J17*Settings!$B$8+K17*Settings!$B$9+L17*Settings!$B$10</f>
        <v/>
      </c>
      <c r="N17" s="8">
        <f>M17-INDEX(Settings!$G$4:$G$9,MATCH($E17,Settings!$F$4:$F$9,0))</f>
        <v/>
      </c>
      <c r="O17" s="7">
        <f>N17*INDEX(Settings!$H$4:$H$9,MATCH($E17,Settings!$F$4:$F$9,0))</f>
        <v/>
      </c>
      <c r="P17" s="3" t="inlineStr">
        <is>
          <t>MEDIUM</t>
        </is>
      </c>
      <c r="Q17" s="5" t="inlineStr">
        <is>
          <t>Led NFL 23 INTs 2025</t>
        </is>
      </c>
    </row>
    <row r="18">
      <c r="A18" s="3" t="n">
        <v>118</v>
      </c>
      <c r="B18" s="13" t="inlineStr">
        <is>
          <t>DST16</t>
        </is>
      </c>
      <c r="C18" s="5" t="inlineStr">
        <is>
          <t>Giants D/ST</t>
        </is>
      </c>
      <c r="D18" s="3" t="inlineStr">
        <is>
          <t>NYG</t>
        </is>
      </c>
      <c r="E18" s="13" t="inlineStr">
        <is>
          <t>DST</t>
        </is>
      </c>
      <c r="F18" s="6" t="n"/>
      <c r="G18" s="6" t="n"/>
      <c r="H18" s="6" t="n"/>
      <c r="I18" s="6" t="n"/>
      <c r="J18" s="6" t="n"/>
      <c r="K18" s="6" t="n">
        <v>2.27</v>
      </c>
      <c r="L18" s="6" t="n">
        <v>0.6</v>
      </c>
      <c r="M18" s="7">
        <f>F18*Settings!$B$4+G18*Settings!$B$5+H18*Settings!$B$6+I18*Settings!$B$7+J18*Settings!$B$8+K18*Settings!$B$9+L18*Settings!$B$10</f>
        <v/>
      </c>
      <c r="N18" s="8">
        <f>M18-INDEX(Settings!$G$4:$G$9,MATCH($E18,Settings!$F$4:$F$9,0))</f>
        <v/>
      </c>
      <c r="O18" s="7">
        <f>N18*INDEX(Settings!$H$4:$H$9,MATCH($E18,Settings!$F$4:$F$9,0))</f>
        <v/>
      </c>
      <c r="P18" s="3" t="inlineStr">
        <is>
          <t>LOW</t>
        </is>
      </c>
      <c r="Q18" s="5" t="inlineStr">
        <is>
          <t>Elite pass rush drives safeties</t>
        </is>
      </c>
    </row>
    <row r="19">
      <c r="A19" s="3" t="n">
        <v>119</v>
      </c>
      <c r="B19" s="13" t="inlineStr">
        <is>
          <t>DST17</t>
        </is>
      </c>
      <c r="C19" s="5" t="inlineStr">
        <is>
          <t>Jets D/ST</t>
        </is>
      </c>
      <c r="D19" s="3" t="inlineStr">
        <is>
          <t>NYJ</t>
        </is>
      </c>
      <c r="E19" s="13" t="inlineStr">
        <is>
          <t>DST</t>
        </is>
      </c>
      <c r="F19" s="6" t="n"/>
      <c r="G19" s="6" t="n"/>
      <c r="H19" s="6" t="n"/>
      <c r="I19" s="6" t="n"/>
      <c r="J19" s="6" t="n"/>
      <c r="K19" s="6" t="n">
        <v>2.3</v>
      </c>
      <c r="L19" s="6" t="n">
        <v>0.45</v>
      </c>
      <c r="M19" s="7">
        <f>F19*Settings!$B$4+G19*Settings!$B$5+H19*Settings!$B$6+I19*Settings!$B$7+J19*Settings!$B$8+K19*Settings!$B$9+L19*Settings!$B$10</f>
        <v/>
      </c>
      <c r="N19" s="8">
        <f>M19-INDEX(Settings!$G$4:$G$9,MATCH($E19,Settings!$F$4:$F$9,0))</f>
        <v/>
      </c>
      <c r="O19" s="7">
        <f>N19*INDEX(Settings!$H$4:$H$9,MATCH($E19,Settings!$F$4:$F$9,0))</f>
        <v/>
      </c>
      <c r="P19" s="3" t="inlineStr">
        <is>
          <t>LOW</t>
        </is>
      </c>
      <c r="Q19" s="5" t="inlineStr">
        <is>
          <t>Best return duo; defense contributes nothing</t>
        </is>
      </c>
    </row>
    <row r="20">
      <c r="A20" s="3" t="n">
        <v>120</v>
      </c>
      <c r="B20" s="13" t="inlineStr">
        <is>
          <t>DST18</t>
        </is>
      </c>
      <c r="C20" s="5" t="inlineStr">
        <is>
          <t>Titans D/ST</t>
        </is>
      </c>
      <c r="D20" s="3" t="inlineStr">
        <is>
          <t>TEN</t>
        </is>
      </c>
      <c r="E20" s="13" t="inlineStr">
        <is>
          <t>DST</t>
        </is>
      </c>
      <c r="F20" s="6" t="n"/>
      <c r="G20" s="6" t="n"/>
      <c r="H20" s="6" t="n"/>
      <c r="I20" s="6" t="n"/>
      <c r="J20" s="6" t="n"/>
      <c r="K20" s="6" t="n">
        <v>2.3</v>
      </c>
      <c r="L20" s="6" t="n">
        <v>0.4</v>
      </c>
      <c r="M20" s="7">
        <f>F20*Settings!$B$4+G20*Settings!$B$5+H20*Settings!$B$6+I20*Settings!$B$7+J20*Settings!$B$8+K20*Settings!$B$9+L20*Settings!$B$10</f>
        <v/>
      </c>
      <c r="N20" s="8">
        <f>M20-INDEX(Settings!$G$4:$G$9,MATCH($E20,Settings!$F$4:$F$9,0))</f>
        <v/>
      </c>
      <c r="O20" s="7">
        <f>N20*INDEX(Settings!$H$4:$H$9,MATCH($E20,Settings!$F$4:$F$9,0))</f>
        <v/>
      </c>
      <c r="P20" s="3" t="inlineStr">
        <is>
          <t>LOW</t>
        </is>
      </c>
      <c r="Q20" s="5" t="inlineStr">
        <is>
          <t>Chimere Dike 2 PR TD 2025; pure return play</t>
        </is>
      </c>
    </row>
    <row r="21">
      <c r="A21" s="3" t="n">
        <v>121</v>
      </c>
      <c r="B21" s="13" t="inlineStr">
        <is>
          <t>DST19</t>
        </is>
      </c>
      <c r="C21" s="5" t="inlineStr">
        <is>
          <t>New Orleans D/ST</t>
        </is>
      </c>
      <c r="D21" s="3" t="inlineStr">
        <is>
          <t>NO</t>
        </is>
      </c>
      <c r="E21" s="13" t="inlineStr">
        <is>
          <t>DST</t>
        </is>
      </c>
      <c r="F21" s="6" t="n"/>
      <c r="G21" s="6" t="n"/>
      <c r="H21" s="6" t="n"/>
      <c r="I21" s="6" t="n"/>
      <c r="J21" s="6" t="n"/>
      <c r="K21" s="6" t="n">
        <v>2.28</v>
      </c>
      <c r="L21" s="6" t="n">
        <v>0.45</v>
      </c>
      <c r="M21" s="7">
        <f>F21*Settings!$B$4+G21*Settings!$B$5+H21*Settings!$B$6+I21*Settings!$B$7+J21*Settings!$B$8+K21*Settings!$B$9+L21*Settings!$B$10</f>
        <v/>
      </c>
      <c r="N21" s="8">
        <f>M21-INDEX(Settings!$G$4:$G$9,MATCH($E21,Settings!$F$4:$F$9,0))</f>
        <v/>
      </c>
      <c r="O21" s="7">
        <f>N21*INDEX(Settings!$H$4:$H$9,MATCH($E21,Settings!$F$4:$F$9,0))</f>
        <v/>
      </c>
      <c r="P21" s="3" t="inlineStr">
        <is>
          <t>LOW</t>
        </is>
      </c>
      <c r="Q21" s="5" t="inlineStr">
        <is>
          <t>3 def TD 2025</t>
        </is>
      </c>
    </row>
    <row r="22">
      <c r="A22" s="3" t="n">
        <v>122</v>
      </c>
      <c r="B22" s="13" t="inlineStr">
        <is>
          <t>DST20</t>
        </is>
      </c>
      <c r="C22" s="5" t="inlineStr">
        <is>
          <t>Bengals D/ST</t>
        </is>
      </c>
      <c r="D22" s="3" t="inlineStr">
        <is>
          <t>CIN</t>
        </is>
      </c>
      <c r="E22" s="13" t="inlineStr">
        <is>
          <t>DST</t>
        </is>
      </c>
      <c r="F22" s="6" t="n"/>
      <c r="G22" s="6" t="n"/>
      <c r="H22" s="6" t="n"/>
      <c r="I22" s="6" t="n"/>
      <c r="J22" s="6" t="n"/>
      <c r="K22" s="6" t="n">
        <v>2.27</v>
      </c>
      <c r="L22" s="6" t="n">
        <v>0.45</v>
      </c>
      <c r="M22" s="7">
        <f>F22*Settings!$B$4+G22*Settings!$B$5+H22*Settings!$B$6+I22*Settings!$B$7+J22*Settings!$B$8+K22*Settings!$B$9+L22*Settings!$B$10</f>
        <v/>
      </c>
      <c r="N22" s="8">
        <f>M22-INDEX(Settings!$G$4:$G$9,MATCH($E22,Settings!$F$4:$F$9,0))</f>
        <v/>
      </c>
      <c r="O22" s="7">
        <f>N22*INDEX(Settings!$H$4:$H$9,MATCH($E22,Settings!$F$4:$F$9,0))</f>
        <v/>
      </c>
      <c r="P22" s="3" t="inlineStr">
        <is>
          <t>MEDIUM</t>
        </is>
      </c>
      <c r="Q22" s="5" t="inlineStr">
        <is>
          <t>Charlie Jones KR TD in both 2024 and 2025</t>
        </is>
      </c>
    </row>
    <row r="23">
      <c r="A23" s="3" t="n">
        <v>123</v>
      </c>
      <c r="B23" s="13" t="inlineStr">
        <is>
          <t>DST21</t>
        </is>
      </c>
      <c r="C23" s="5" t="inlineStr">
        <is>
          <t>Dolphins D/ST</t>
        </is>
      </c>
      <c r="D23" s="3" t="inlineStr">
        <is>
          <t>MIA</t>
        </is>
      </c>
      <c r="E23" s="13" t="inlineStr">
        <is>
          <t>DST</t>
        </is>
      </c>
      <c r="F23" s="6" t="n"/>
      <c r="G23" s="6" t="n"/>
      <c r="H23" s="6" t="n"/>
      <c r="I23" s="6" t="n"/>
      <c r="J23" s="6" t="n"/>
      <c r="K23" s="6" t="n">
        <v>2.27</v>
      </c>
      <c r="L23" s="6" t="n">
        <v>0.4</v>
      </c>
      <c r="M23" s="7">
        <f>F23*Settings!$B$4+G23*Settings!$B$5+H23*Settings!$B$6+I23*Settings!$B$7+J23*Settings!$B$8+K23*Settings!$B$9+L23*Settings!$B$10</f>
        <v/>
      </c>
      <c r="N23" s="8">
        <f>M23-INDEX(Settings!$G$4:$G$9,MATCH($E23,Settings!$F$4:$F$9,0))</f>
        <v/>
      </c>
      <c r="O23" s="7">
        <f>N23*INDEX(Settings!$H$4:$H$9,MATCH($E23,Settings!$F$4:$F$9,0))</f>
        <v/>
      </c>
      <c r="P23" s="3" t="inlineStr">
        <is>
          <t>LOW</t>
        </is>
      </c>
      <c r="Q23" s="5" t="inlineStr">
        <is>
          <t>0 def TD in 2024 AND 2025</t>
        </is>
      </c>
    </row>
    <row r="24">
      <c r="A24" s="3" t="n">
        <v>125</v>
      </c>
      <c r="B24" s="13" t="inlineStr">
        <is>
          <t>DST22</t>
        </is>
      </c>
      <c r="C24" s="5" t="inlineStr">
        <is>
          <t>Panthers D/ST</t>
        </is>
      </c>
      <c r="D24" s="3" t="inlineStr">
        <is>
          <t>CAR</t>
        </is>
      </c>
      <c r="E24" s="13" t="inlineStr">
        <is>
          <t>DST</t>
        </is>
      </c>
      <c r="F24" s="6" t="n"/>
      <c r="G24" s="6" t="n"/>
      <c r="H24" s="6" t="n"/>
      <c r="I24" s="6" t="n"/>
      <c r="J24" s="6" t="n"/>
      <c r="K24" s="6" t="n">
        <v>2.12</v>
      </c>
      <c r="L24" s="6" t="n">
        <v>0.45</v>
      </c>
      <c r="M24" s="7">
        <f>F24*Settings!$B$4+G24*Settings!$B$5+H24*Settings!$B$6+I24*Settings!$B$7+J24*Settings!$B$8+K24*Settings!$B$9+L24*Settings!$B$10</f>
        <v/>
      </c>
      <c r="N24" s="8">
        <f>M24-INDEX(Settings!$G$4:$G$9,MATCH($E24,Settings!$F$4:$F$9,0))</f>
        <v/>
      </c>
      <c r="O24" s="7">
        <f>N24*INDEX(Settings!$H$4:$H$9,MATCH($E24,Settings!$F$4:$F$9,0))</f>
        <v/>
      </c>
      <c r="P24" s="3" t="inlineStr">
        <is>
          <t>LOW</t>
        </is>
      </c>
      <c r="Q24" s="5" t="inlineStr"/>
    </row>
    <row r="25">
      <c r="A25" s="3" t="n">
        <v>126</v>
      </c>
      <c r="B25" s="13" t="inlineStr">
        <is>
          <t>DST23</t>
        </is>
      </c>
      <c r="C25" s="5" t="inlineStr">
        <is>
          <t>Buccaneers D/ST</t>
        </is>
      </c>
      <c r="D25" s="3" t="inlineStr">
        <is>
          <t>TB</t>
        </is>
      </c>
      <c r="E25" s="13" t="inlineStr">
        <is>
          <t>DST</t>
        </is>
      </c>
      <c r="F25" s="6" t="n"/>
      <c r="G25" s="6" t="n"/>
      <c r="H25" s="6" t="n"/>
      <c r="I25" s="6" t="n"/>
      <c r="J25" s="6" t="n"/>
      <c r="K25" s="6" t="n">
        <v>2.12</v>
      </c>
      <c r="L25" s="6" t="n">
        <v>0.45</v>
      </c>
      <c r="M25" s="7">
        <f>F25*Settings!$B$4+G25*Settings!$B$5+H25*Settings!$B$6+I25*Settings!$B$7+J25*Settings!$B$8+K25*Settings!$B$9+L25*Settings!$B$10</f>
        <v/>
      </c>
      <c r="N25" s="8">
        <f>M25-INDEX(Settings!$G$4:$G$9,MATCH($E25,Settings!$F$4:$F$9,0))</f>
        <v/>
      </c>
      <c r="O25" s="7">
        <f>N25*INDEX(Settings!$H$4:$H$9,MATCH($E25,Settings!$F$4:$F$9,0))</f>
        <v/>
      </c>
      <c r="P25" s="3" t="inlineStr">
        <is>
          <t>MEDIUM</t>
        </is>
      </c>
      <c r="Q25" s="5" t="inlineStr"/>
    </row>
    <row r="26">
      <c r="A26" s="3" t="n">
        <v>127</v>
      </c>
      <c r="B26" s="13" t="inlineStr">
        <is>
          <t>DST24</t>
        </is>
      </c>
      <c r="C26" s="5" t="inlineStr">
        <is>
          <t>Chiefs D/ST</t>
        </is>
      </c>
      <c r="D26" s="3" t="inlineStr">
        <is>
          <t>KC</t>
        </is>
      </c>
      <c r="E26" s="13" t="inlineStr">
        <is>
          <t>DST</t>
        </is>
      </c>
      <c r="F26" s="6" t="n"/>
      <c r="G26" s="6" t="n"/>
      <c r="H26" s="6" t="n"/>
      <c r="I26" s="6" t="n"/>
      <c r="J26" s="6" t="n"/>
      <c r="K26" s="6" t="n">
        <v>2.1</v>
      </c>
      <c r="L26" s="6" t="n">
        <v>0.5</v>
      </c>
      <c r="M26" s="7">
        <f>F26*Settings!$B$4+G26*Settings!$B$5+H26*Settings!$B$6+I26*Settings!$B$7+J26*Settings!$B$8+K26*Settings!$B$9+L26*Settings!$B$10</f>
        <v/>
      </c>
      <c r="N26" s="8">
        <f>M26-INDEX(Settings!$G$4:$G$9,MATCH($E26,Settings!$F$4:$F$9,0))</f>
        <v/>
      </c>
      <c r="O26" s="7">
        <f>N26*INDEX(Settings!$H$4:$H$9,MATCH($E26,Settings!$F$4:$F$9,0))</f>
        <v/>
      </c>
      <c r="P26" s="3" t="inlineStr">
        <is>
          <t>MEDIUM</t>
        </is>
      </c>
      <c r="Q26" s="5" t="inlineStr">
        <is>
          <t>0 def TD in 2025; low variance</t>
        </is>
      </c>
    </row>
    <row r="27">
      <c r="A27" s="3" t="n">
        <v>130</v>
      </c>
      <c r="B27" s="13" t="inlineStr">
        <is>
          <t>DST25</t>
        </is>
      </c>
      <c r="C27" s="5" t="inlineStr">
        <is>
          <t>Eagles D/ST</t>
        </is>
      </c>
      <c r="D27" s="3" t="inlineStr">
        <is>
          <t>PHI</t>
        </is>
      </c>
      <c r="E27" s="13" t="inlineStr">
        <is>
          <t>DST</t>
        </is>
      </c>
      <c r="F27" s="6" t="n"/>
      <c r="G27" s="6" t="n"/>
      <c r="H27" s="6" t="n"/>
      <c r="I27" s="6" t="n"/>
      <c r="J27" s="6" t="n"/>
      <c r="K27" s="6" t="n">
        <v>2.03</v>
      </c>
      <c r="L27" s="6" t="n">
        <v>0.6</v>
      </c>
      <c r="M27" s="7">
        <f>F27*Settings!$B$4+G27*Settings!$B$5+H27*Settings!$B$6+I27*Settings!$B$7+J27*Settings!$B$8+K27*Settings!$B$9+L27*Settings!$B$10</f>
        <v/>
      </c>
      <c r="N27" s="8">
        <f>M27-INDEX(Settings!$G$4:$G$9,MATCH($E27,Settings!$F$4:$F$9,0))</f>
        <v/>
      </c>
      <c r="O27" s="7">
        <f>N27*INDEX(Settings!$H$4:$H$9,MATCH($E27,Settings!$F$4:$F$9,0))</f>
        <v/>
      </c>
      <c r="P27" s="3" t="inlineStr">
        <is>
          <t>MEDIUM</t>
        </is>
      </c>
      <c r="Q27" s="5" t="inlineStr">
        <is>
          <t>TRAP: great real defense but no return game</t>
        </is>
      </c>
    </row>
    <row r="28">
      <c r="A28" s="3" t="n">
        <v>131</v>
      </c>
      <c r="B28" s="13" t="inlineStr">
        <is>
          <t>DST26</t>
        </is>
      </c>
      <c r="C28" s="5" t="inlineStr">
        <is>
          <t>49ers D/ST</t>
        </is>
      </c>
      <c r="D28" s="3" t="inlineStr">
        <is>
          <t>SF</t>
        </is>
      </c>
      <c r="E28" s="13" t="inlineStr">
        <is>
          <t>DST</t>
        </is>
      </c>
      <c r="F28" s="6" t="n"/>
      <c r="G28" s="6" t="n"/>
      <c r="H28" s="6" t="n"/>
      <c r="I28" s="6" t="n"/>
      <c r="J28" s="6" t="n"/>
      <c r="K28" s="6" t="n">
        <v>1.95</v>
      </c>
      <c r="L28" s="6" t="n">
        <v>0.55</v>
      </c>
      <c r="M28" s="7">
        <f>F28*Settings!$B$4+G28*Settings!$B$5+H28*Settings!$B$6+I28*Settings!$B$7+J28*Settings!$B$8+K28*Settings!$B$9+L28*Settings!$B$10</f>
        <v/>
      </c>
      <c r="N28" s="8">
        <f>M28-INDEX(Settings!$G$4:$G$9,MATCH($E28,Settings!$F$4:$F$9,0))</f>
        <v/>
      </c>
      <c r="O28" s="7">
        <f>N28*INDEX(Settings!$H$4:$H$9,MATCH($E28,Settings!$F$4:$F$9,0))</f>
        <v/>
      </c>
      <c r="P28" s="3" t="inlineStr">
        <is>
          <t>MEDIUM</t>
        </is>
      </c>
      <c r="Q28" s="5" t="inlineStr">
        <is>
          <t>Exactly 1 def TD each of last 3 yrs</t>
        </is>
      </c>
    </row>
    <row r="29">
      <c r="A29" s="3" t="n">
        <v>132</v>
      </c>
      <c r="B29" s="13" t="inlineStr">
        <is>
          <t>DST27</t>
        </is>
      </c>
      <c r="C29" s="5" t="inlineStr">
        <is>
          <t>Cardinals D/ST</t>
        </is>
      </c>
      <c r="D29" s="3" t="inlineStr">
        <is>
          <t>ARI</t>
        </is>
      </c>
      <c r="E29" s="13" t="inlineStr">
        <is>
          <t>DST</t>
        </is>
      </c>
      <c r="F29" s="6" t="n"/>
      <c r="G29" s="6" t="n"/>
      <c r="H29" s="6" t="n"/>
      <c r="I29" s="6" t="n"/>
      <c r="J29" s="6" t="n"/>
      <c r="K29" s="6" t="n">
        <v>1.95</v>
      </c>
      <c r="L29" s="6" t="n">
        <v>0.5</v>
      </c>
      <c r="M29" s="7">
        <f>F29*Settings!$B$4+G29*Settings!$B$5+H29*Settings!$B$6+I29*Settings!$B$7+J29*Settings!$B$8+K29*Settings!$B$9+L29*Settings!$B$10</f>
        <v/>
      </c>
      <c r="N29" s="8">
        <f>M29-INDEX(Settings!$G$4:$G$9,MATCH($E29,Settings!$F$4:$F$9,0))</f>
        <v/>
      </c>
      <c r="O29" s="7">
        <f>N29*INDEX(Settings!$H$4:$H$9,MATCH($E29,Settings!$F$4:$F$9,0))</f>
        <v/>
      </c>
      <c r="P29" s="3" t="inlineStr">
        <is>
          <t>LOW</t>
        </is>
      </c>
      <c r="Q29" s="5" t="inlineStr"/>
    </row>
    <row r="30">
      <c r="A30" s="3" t="n">
        <v>134</v>
      </c>
      <c r="B30" s="13" t="inlineStr">
        <is>
          <t>DST28</t>
        </is>
      </c>
      <c r="C30" s="5" t="inlineStr">
        <is>
          <t>Rams D/ST</t>
        </is>
      </c>
      <c r="D30" s="3" t="inlineStr">
        <is>
          <t>LAR</t>
        </is>
      </c>
      <c r="E30" s="13" t="inlineStr">
        <is>
          <t>DST</t>
        </is>
      </c>
      <c r="F30" s="6" t="n"/>
      <c r="G30" s="6" t="n"/>
      <c r="H30" s="6" t="n"/>
      <c r="I30" s="6" t="n"/>
      <c r="J30" s="6" t="n"/>
      <c r="K30" s="6" t="n">
        <v>1.87</v>
      </c>
      <c r="L30" s="6" t="n">
        <v>0.5</v>
      </c>
      <c r="M30" s="7">
        <f>F30*Settings!$B$4+G30*Settings!$B$5+H30*Settings!$B$6+I30*Settings!$B$7+J30*Settings!$B$8+K30*Settings!$B$9+L30*Settings!$B$10</f>
        <v/>
      </c>
      <c r="N30" s="8">
        <f>M30-INDEX(Settings!$G$4:$G$9,MATCH($E30,Settings!$F$4:$F$9,0))</f>
        <v/>
      </c>
      <c r="O30" s="7">
        <f>N30*INDEX(Settings!$H$4:$H$9,MATCH($E30,Settings!$F$4:$F$9,0))</f>
        <v/>
      </c>
      <c r="P30" s="3" t="inlineStr">
        <is>
          <t>MEDIUM</t>
        </is>
      </c>
      <c r="Q30" s="5" t="inlineStr">
        <is>
          <t>Weak returners</t>
        </is>
      </c>
    </row>
    <row r="31">
      <c r="A31" s="3" t="n">
        <v>139</v>
      </c>
      <c r="B31" s="13" t="inlineStr">
        <is>
          <t>DST29</t>
        </is>
      </c>
      <c r="C31" s="5" t="inlineStr">
        <is>
          <t>Lions D/ST</t>
        </is>
      </c>
      <c r="D31" s="3" t="inlineStr">
        <is>
          <t>DET</t>
        </is>
      </c>
      <c r="E31" s="13" t="inlineStr">
        <is>
          <t>DST</t>
        </is>
      </c>
      <c r="F31" s="6" t="n"/>
      <c r="G31" s="6" t="n"/>
      <c r="H31" s="6" t="n"/>
      <c r="I31" s="6" t="n"/>
      <c r="J31" s="6" t="n"/>
      <c r="K31" s="6" t="n">
        <v>1.78</v>
      </c>
      <c r="L31" s="6" t="n">
        <v>0.45</v>
      </c>
      <c r="M31" s="7">
        <f>F31*Settings!$B$4+G31*Settings!$B$5+H31*Settings!$B$6+I31*Settings!$B$7+J31*Settings!$B$8+K31*Settings!$B$9+L31*Settings!$B$10</f>
        <v/>
      </c>
      <c r="N31" s="8">
        <f>M31-INDEX(Settings!$G$4:$G$9,MATCH($E31,Settings!$F$4:$F$9,0))</f>
        <v/>
      </c>
      <c r="O31" s="7">
        <f>N31*INDEX(Settings!$H$4:$H$9,MATCH($E31,Settings!$F$4:$F$9,0))</f>
        <v/>
      </c>
      <c r="P31" s="3" t="inlineStr">
        <is>
          <t>MEDIUM</t>
        </is>
      </c>
      <c r="Q31" s="5" t="inlineStr">
        <is>
          <t>Only 2 def TD in 3 seasons</t>
        </is>
      </c>
    </row>
    <row r="32">
      <c r="A32" s="3" t="n">
        <v>140</v>
      </c>
      <c r="B32" s="13" t="inlineStr">
        <is>
          <t>DST30</t>
        </is>
      </c>
      <c r="C32" s="5" t="inlineStr">
        <is>
          <t>Commanders D/ST</t>
        </is>
      </c>
      <c r="D32" s="3" t="inlineStr">
        <is>
          <t>WAS</t>
        </is>
      </c>
      <c r="E32" s="13" t="inlineStr">
        <is>
          <t>DST</t>
        </is>
      </c>
      <c r="F32" s="6" t="n"/>
      <c r="G32" s="6" t="n"/>
      <c r="H32" s="6" t="n"/>
      <c r="I32" s="6" t="n"/>
      <c r="J32" s="6" t="n"/>
      <c r="K32" s="6" t="n">
        <v>1.77</v>
      </c>
      <c r="L32" s="6" t="n">
        <v>0.4</v>
      </c>
      <c r="M32" s="7">
        <f>F32*Settings!$B$4+G32*Settings!$B$5+H32*Settings!$B$6+I32*Settings!$B$7+J32*Settings!$B$8+K32*Settings!$B$9+L32*Settings!$B$10</f>
        <v/>
      </c>
      <c r="N32" s="8">
        <f>M32-INDEX(Settings!$G$4:$G$9,MATCH($E32,Settings!$F$4:$F$9,0))</f>
        <v/>
      </c>
      <c r="O32" s="7">
        <f>N32*INDEX(Settings!$H$4:$H$9,MATCH($E32,Settings!$F$4:$F$9,0))</f>
        <v/>
      </c>
      <c r="P32" s="3" t="inlineStr">
        <is>
          <t>LOW</t>
        </is>
      </c>
      <c r="Q32" s="5" t="inlineStr">
        <is>
          <t>1 def TD in 3 years</t>
        </is>
      </c>
    </row>
    <row r="33">
      <c r="A33" s="3" t="n">
        <v>141</v>
      </c>
      <c r="B33" s="13" t="inlineStr">
        <is>
          <t>DST31</t>
        </is>
      </c>
      <c r="C33" s="5" t="inlineStr">
        <is>
          <t>Packers D/ST</t>
        </is>
      </c>
      <c r="D33" s="3" t="inlineStr">
        <is>
          <t>GB</t>
        </is>
      </c>
      <c r="E33" s="13" t="inlineStr">
        <is>
          <t>DST</t>
        </is>
      </c>
      <c r="F33" s="6" t="n"/>
      <c r="G33" s="6" t="n"/>
      <c r="H33" s="6" t="n"/>
      <c r="I33" s="6" t="n"/>
      <c r="J33" s="6" t="n"/>
      <c r="K33" s="6" t="n">
        <v>1.7</v>
      </c>
      <c r="L33" s="6" t="n">
        <v>0.55</v>
      </c>
      <c r="M33" s="7">
        <f>F33*Settings!$B$4+G33*Settings!$B$5+H33*Settings!$B$6+I33*Settings!$B$7+J33*Settings!$B$8+K33*Settings!$B$9+L33*Settings!$B$10</f>
        <v/>
      </c>
      <c r="N33" s="8">
        <f>M33-INDEX(Settings!$G$4:$G$9,MATCH($E33,Settings!$F$4:$F$9,0))</f>
        <v/>
      </c>
      <c r="O33" s="7">
        <f>N33*INDEX(Settings!$H$4:$H$9,MATCH($E33,Settings!$F$4:$F$9,0))</f>
        <v/>
      </c>
      <c r="P33" s="3" t="inlineStr">
        <is>
          <t>MEDIUM</t>
        </is>
      </c>
      <c r="Q33" s="5" t="inlineStr">
        <is>
          <t>0 def TD 2025; poor returner</t>
        </is>
      </c>
    </row>
    <row r="34">
      <c r="A34" s="3" t="n">
        <v>142</v>
      </c>
      <c r="B34" s="13" t="inlineStr">
        <is>
          <t>DST32</t>
        </is>
      </c>
      <c r="C34" s="5" t="inlineStr">
        <is>
          <t>Chargers D/ST</t>
        </is>
      </c>
      <c r="D34" s="3" t="inlineStr">
        <is>
          <t>LAC</t>
        </is>
      </c>
      <c r="E34" s="13" t="inlineStr">
        <is>
          <t>DST</t>
        </is>
      </c>
      <c r="F34" s="6" t="n"/>
      <c r="G34" s="6" t="n"/>
      <c r="H34" s="6" t="n"/>
      <c r="I34" s="6" t="n"/>
      <c r="J34" s="6" t="n"/>
      <c r="K34" s="6" t="n">
        <v>1.62</v>
      </c>
      <c r="L34" s="6" t="n">
        <v>0.5</v>
      </c>
      <c r="M34" s="7">
        <f>F34*Settings!$B$4+G34*Settings!$B$5+H34*Settings!$B$6+I34*Settings!$B$7+J34*Settings!$B$8+K34*Settings!$B$9+L34*Settings!$B$10</f>
        <v/>
      </c>
      <c r="N34" s="8">
        <f>M34-INDEX(Settings!$G$4:$G$9,MATCH($E34,Settings!$F$4:$F$9,0))</f>
        <v/>
      </c>
      <c r="O34" s="7">
        <f>N34*INDEX(Settings!$H$4:$H$9,MATCH($E34,Settings!$F$4:$F$9,0))</f>
        <v/>
      </c>
      <c r="P34" s="3" t="inlineStr">
        <is>
          <t>MEDIUM</t>
        </is>
      </c>
      <c r="Q34" s="5" t="inlineStr">
        <is>
          <t>1 def TD in 3 seasons; 19 INTs to 0 INT TD</t>
        </is>
      </c>
    </row>
  </sheetData>
  <autoFilter ref="A2:Q34"/>
  <mergeCells count="1">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4" customWidth="1" min="1" max="1"/>
    <col width="38" customWidth="1" min="2" max="2"/>
    <col width="105" customWidth="1" min="3" max="3"/>
  </cols>
  <sheetData>
    <row r="1">
      <c r="A1" s="1" t="inlineStr">
        <is>
          <t>How this format differs from normal fantasy</t>
        </is>
      </c>
    </row>
    <row r="2" ht="24" customHeight="1">
      <c r="A2" s="2" t="inlineStr">
        <is>
          <t>#</t>
        </is>
      </c>
      <c r="B2" s="2" t="inlineStr">
        <is>
          <t>Principle</t>
        </is>
      </c>
      <c r="C2" s="2" t="inlineStr">
        <is>
          <t>Why</t>
        </is>
      </c>
    </row>
    <row r="3">
      <c r="A3" s="14" t="inlineStr">
        <is>
          <t>1</t>
        </is>
      </c>
      <c r="B3" s="15" t="inlineStr">
        <is>
          <t>Rushing QBs are the single biggest edge</t>
        </is>
      </c>
      <c r="C3" s="15" t="inlineStr">
        <is>
          <t>A rushing TD (6) is worth double a passing TD (3). Josh Allen projects for 153 points — 30 clear of QB2 and a bigger gap than QB2-to-QB12. He is a legitimate 1.01 in this format. After him, prioritize rushing floor over passing volume every time.</t>
        </is>
      </c>
    </row>
    <row r="4">
      <c r="A4" s="14" t="inlineStr">
        <is>
          <t>2</t>
        </is>
      </c>
      <c r="B4" s="15" t="inlineStr">
        <is>
          <t>Draft your kicker around round 2</t>
        </is>
      </c>
      <c r="C4" s="15" t="inlineStr">
        <is>
          <t>Counterintuitive but real. Kickers have the highest raw VOR of any position after Allen, because FG x 3 produces huge absolute totals. BUT kicker projections are the least reliable of any position, so the risk-adjusted board slots K1 near pick 17 rather than pick 4. That is still four to six rounds earlier than anyone else in your league will move.</t>
        </is>
      </c>
    </row>
    <row r="5">
      <c r="A5" s="14" t="inlineStr">
        <is>
          <t>3</t>
        </is>
      </c>
      <c r="B5" s="15" t="inlineStr">
        <is>
          <t>Target offenses that stall, not offenses that score</t>
        </is>
      </c>
      <c r="C5" s="15" t="inlineStr">
        <is>
          <t>For kickers only. A drive ending in a FG pays 3; a drive ending in a TD pays the kicker 1. Houston (52 FGA) is the ideal kicker offense. Buffalo (21 FGA) is the worst.</t>
        </is>
      </c>
    </row>
    <row r="6">
      <c r="A6" s="14" t="inlineStr">
        <is>
          <t>4</t>
        </is>
      </c>
      <c r="B6" s="15" t="inlineStr">
        <is>
          <t>Chase the goal-line role, not the workload</t>
        </is>
      </c>
      <c r="C6" s="15" t="inlineStr">
        <is>
          <t>Yardage is worth nothing. A short-yardage specialist who scores 10 times beats a 1,400-yard back who scores 5. Identify who gets the ball inside the 5 in every backfield — that is the whole RB position.</t>
        </is>
      </c>
    </row>
    <row r="7">
      <c r="A7" s="14" t="inlineStr">
        <is>
          <t>5</t>
        </is>
      </c>
      <c r="B7" s="15" t="inlineStr">
        <is>
          <t>Stream D/ST, do not draft one early</t>
        </is>
      </c>
      <c r="C7" s="15" t="inlineStr">
        <is>
          <t>The D1-to-D32 spread is only 11 points, versus 66 for kickers. With no sacks or points-allowed scoring, defenses only score on return/defensive TDs — a stat that barely correlates year to year. Take one in the last round. If your roster allows, a second kicker is worth more than a second defense.</t>
        </is>
      </c>
    </row>
    <row r="8">
      <c r="A8" s="14" t="inlineStr">
        <is>
          <t>6</t>
        </is>
      </c>
      <c r="B8" s="15" t="inlineStr">
        <is>
          <t>Punt returners matter more than pass rushers</t>
        </is>
      </c>
      <c r="C8" s="15" t="inlineStr">
        <is>
          <t>Punt return TDs jumped from 6 to 15 league-wide in 2025 while kick return TDs fell. When you do pick a defense, buy the return game (SEA, DAL, NE, NYJ, TEN) over the conventional 'elite defense' (PHI).</t>
        </is>
      </c>
    </row>
    <row r="9">
      <c r="A9" s="14" t="inlineStr">
        <is>
          <t>7</t>
        </is>
      </c>
      <c r="B9" s="15" t="inlineStr">
        <is>
          <t>Fade elite possession receivers</t>
        </is>
      </c>
      <c r="C9" s="15" t="inlineStr">
        <is>
          <t>Target volume is worth nothing without the end zone. Prioritize contested-catch and red-zone bodies. Note Davante Adams (LAR) projects for ~10 receiving TDs as the Rams' goal-line target — WR2 overall here despite a modest standard-league ADP.</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22" customWidth="1" min="1" max="1"/>
    <col width="6" customWidth="1" min="2" max="2"/>
    <col width="6" customWidth="1" min="3" max="3"/>
    <col width="110" customWidth="1" min="4" max="4"/>
  </cols>
  <sheetData>
    <row r="1">
      <c r="A1" s="1" t="inlineStr">
        <is>
          <t>Players the projections systematically underrate</t>
        </is>
      </c>
    </row>
    <row r="2" ht="24" customHeight="1">
      <c r="A2" s="2" t="inlineStr">
        <is>
          <t>Player</t>
        </is>
      </c>
      <c r="B2" s="2" t="inlineStr">
        <is>
          <t>Tm</t>
        </is>
      </c>
      <c r="C2" s="2" t="inlineStr">
        <is>
          <t>Pos</t>
        </is>
      </c>
      <c r="D2" s="2" t="inlineStr">
        <is>
          <t>Why he is undervalued in a TD-only league</t>
        </is>
      </c>
    </row>
    <row r="3">
      <c r="A3" s="14" t="inlineStr">
        <is>
          <t>Sean Tucker</t>
        </is>
      </c>
      <c r="B3" s="14" t="inlineStr">
        <is>
          <t>TB</t>
        </is>
      </c>
      <c r="C3" s="14" t="inlineStr">
        <is>
          <t>RB</t>
        </is>
      </c>
      <c r="D3" s="15" t="inlineStr">
        <is>
          <t>Owns the Tampa goal line. Bucky Irving had ZERO carries inside the 5 in 2025; Tucker took nearly all of them and scored 8 TDs, 6 in his final 8 games. TB re-signed him specifically for that role. His ~2.8 projected TDs is a model artifact of low carry volume. Biggest value in the format.</t>
        </is>
      </c>
    </row>
    <row r="4">
      <c r="A4" s="14" t="inlineStr">
        <is>
          <t>Jaxson Dart</t>
        </is>
      </c>
      <c r="B4" s="14" t="inlineStr">
        <is>
          <t>NYG</t>
        </is>
      </c>
      <c r="C4" s="14" t="inlineStr">
        <is>
          <t>QB</t>
        </is>
      </c>
      <c r="D4" s="15" t="inlineStr">
        <is>
          <t>Grades QB8 on ~6 rushing TDs (9 as a rookie, 2nd-highest designed-rush share among QBs). Rushing TDs are worth 2x passing TDs here. Caveat: new HC John Harbaugh spent a decade teaching Lamar Jackson to slide — highest-variance pick on the board.</t>
        </is>
      </c>
    </row>
    <row r="5">
      <c r="A5" s="14" t="inlineStr">
        <is>
          <t>Daniel Jones</t>
        </is>
      </c>
      <c r="B5" s="14" t="inlineStr">
        <is>
          <t>IND</t>
        </is>
      </c>
      <c r="C5" s="14" t="inlineStr">
        <is>
          <t>QB</t>
        </is>
      </c>
      <c r="D5" s="15" t="inlineStr">
        <is>
          <t>Clay projects 6 rushing TDs, Razzball 7.3. Grades QB17 in this format. Nobody drafts him for that.</t>
        </is>
      </c>
    </row>
    <row r="6">
      <c r="A6" s="14" t="inlineStr">
        <is>
          <t>Ka'imi Fairbairn</t>
        </is>
      </c>
      <c r="B6" s="14" t="inlineStr">
        <is>
          <t>HOU</t>
        </is>
      </c>
      <c r="C6" s="14" t="inlineStr">
        <is>
          <t>K</t>
        </is>
      </c>
      <c r="D6" s="15" t="inlineStr">
        <is>
          <t>Purest FG-lean in the league (~50% of value from FGs, not PATs). Houston led the NFL with 52 FG attempts in 2025 because the offense stalls in the red zone — exactly what you want when a FG is worth 3x a PAT.</t>
        </is>
      </c>
    </row>
    <row r="7">
      <c r="A7" s="14" t="inlineStr">
        <is>
          <t>Daniel Carlson</t>
        </is>
      </c>
      <c r="B7" s="14" t="inlineStr">
        <is>
          <t>NO</t>
        </is>
      </c>
      <c r="C7" s="14" t="inlineStr">
        <is>
          <t>K</t>
        </is>
      </c>
      <c r="D7" s="15" t="inlineStr">
        <is>
          <t>Signed Aug 24, 2026 — every published projection was built on Charlie Smyth and is stale. New Orleans took 42 FG attempts in 2025 (T-3rd) at a league-worst 71.4%. An accurate kicker on that volume is unpriced.</t>
        </is>
      </c>
    </row>
    <row r="8">
      <c r="A8" s="14" t="inlineStr">
        <is>
          <t>Chris Rodriguez Jr.</t>
        </is>
      </c>
      <c r="B8" s="14" t="inlineStr">
        <is>
          <t>JAX</t>
        </is>
      </c>
      <c r="C8" s="14" t="inlineStr">
        <is>
          <t>RB</t>
        </is>
      </c>
      <c r="D8" s="15" t="inlineStr">
        <is>
          <t>Hand-picked by Liam Coen as the goal-line back over Bhayshul Tuten. Pure TD specialist, free in drafts.</t>
        </is>
      </c>
    </row>
    <row r="9">
      <c r="A9" s="14" t="inlineStr">
        <is>
          <t>Justin Fields</t>
        </is>
      </c>
      <c r="B9" s="14" t="inlineStr">
        <is>
          <t>KC</t>
        </is>
      </c>
      <c r="C9" s="14" t="inlineStr">
        <is>
          <t>QB</t>
        </is>
      </c>
      <c r="D9" s="15" t="inlineStr">
        <is>
          <t>Best handcuff in the format: a rushing QB sitting behind Mahomes, who is coming off ACL+LCL surgery and has not played a preseason snap.</t>
        </is>
      </c>
    </row>
    <row r="10">
      <c r="A10" s="14" t="inlineStr">
        <is>
          <t>Malik Willis</t>
        </is>
      </c>
      <c r="B10" s="14" t="inlineStr">
        <is>
          <t>MIA</t>
        </is>
      </c>
      <c r="C10" s="14" t="inlineStr">
        <is>
          <t>QB</t>
        </is>
      </c>
      <c r="D10" s="15" t="inlineStr">
        <is>
          <t>Pure lottery ticket. Yahoo projects 7 rushing TDs (would be 4th among QBs), Razzball 2.8. If Miami uses him on designed goal-line runs he is a top-15 QB from an undrafted price.</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26" customWidth="1" min="1" max="1"/>
    <col width="6" customWidth="1" min="2" max="2"/>
    <col width="6" customWidth="1" min="3" max="3"/>
    <col width="110" customWidth="1" min="4" max="4"/>
  </cols>
  <sheetData>
    <row r="1">
      <c r="A1" s="1" t="inlineStr">
        <is>
          <t>Players who cost more than they are worth here</t>
        </is>
      </c>
    </row>
    <row r="2" ht="24" customHeight="1">
      <c r="A2" s="2" t="inlineStr">
        <is>
          <t>Player</t>
        </is>
      </c>
      <c r="B2" s="2" t="inlineStr">
        <is>
          <t>Tm</t>
        </is>
      </c>
      <c r="C2" s="2" t="inlineStr">
        <is>
          <t>Pos</t>
        </is>
      </c>
      <c r="D2" s="2" t="inlineStr">
        <is>
          <t>Why to fade</t>
        </is>
      </c>
    </row>
    <row r="3">
      <c r="A3" s="14" t="inlineStr">
        <is>
          <t>Bucky Irving</t>
        </is>
      </c>
      <c r="B3" s="14" t="inlineStr">
        <is>
          <t>TB</t>
        </is>
      </c>
      <c r="C3" s="14" t="inlineStr">
        <is>
          <t>RB</t>
        </is>
      </c>
      <c r="D3" s="15" t="inlineStr">
        <is>
          <t>Zero carries inside the 5-yard line in 2025. Costs a real pick and does not get the goal line. Sean Tucker does.</t>
        </is>
      </c>
    </row>
    <row r="4">
      <c r="A4" s="14" t="inlineStr">
        <is>
          <t>Saquon Barkley</t>
        </is>
      </c>
      <c r="B4" s="14" t="inlineStr">
        <is>
          <t>PHI</t>
        </is>
      </c>
      <c r="C4" s="14" t="inlineStr">
        <is>
          <t>RB</t>
        </is>
      </c>
      <c r="D4" s="15" t="inlineStr">
        <is>
          <t>Jalen Hurts vultures ~8.5 rushing TDs on the tush push, which survived the 2026 rules vote. Barkley's ADP does not price this in. (James Cook has the same Josh Allen problem, but his 10.5 Vegas line already accounts for it.)</t>
        </is>
      </c>
    </row>
    <row r="5">
      <c r="A5" s="14" t="inlineStr">
        <is>
          <t>Bijan Robinson</t>
        </is>
      </c>
      <c r="B5" s="14" t="inlineStr">
        <is>
          <t>ATL</t>
        </is>
      </c>
      <c r="C5" s="14" t="inlineStr">
        <is>
          <t>RB</t>
        </is>
      </c>
      <c r="D5" s="15" t="inlineStr">
        <is>
          <t>Took only 48% of Atlanta's inside-5 carries in 2025, and the team signed Brian Robinson Jr. A committee back at a bell-cow price.</t>
        </is>
      </c>
    </row>
    <row r="6">
      <c r="A6" s="14" t="inlineStr">
        <is>
          <t>Tyler Bass</t>
        </is>
      </c>
      <c r="B6" s="14" t="inlineStr">
        <is>
          <t>BUF</t>
        </is>
      </c>
      <c r="C6" s="14" t="inlineStr">
        <is>
          <t>K</t>
        </is>
      </c>
      <c r="D6" s="15" t="inlineStr">
        <is>
          <t>Buffalo attempted a league-low 21 field goals in 2025 — they score touchdowns instead. Second-worst FG lean in the league. Fine in standard formats, bad here.</t>
        </is>
      </c>
    </row>
    <row r="7">
      <c r="A7" s="14" t="inlineStr">
        <is>
          <t>Eagles D/ST</t>
        </is>
      </c>
      <c r="B7" s="14" t="inlineStr">
        <is>
          <t>PHI</t>
        </is>
      </c>
      <c r="C7" s="14" t="inlineStr">
        <is>
          <t>DST</t>
        </is>
      </c>
      <c r="D7" s="15" t="inlineStr">
        <is>
          <t>Will be top-5 in every conventional D/ST ranking, which is built on sacks and points allowed — both worth ZERO in this league. No return threat and only 5 defensive TDs in three years. Ranks 25th here.</t>
        </is>
      </c>
    </row>
    <row r="8">
      <c r="A8" s="14" t="inlineStr">
        <is>
          <t>Matthew Stafford</t>
        </is>
      </c>
      <c r="B8" s="14" t="inlineStr">
        <is>
          <t>LAR</t>
        </is>
      </c>
      <c r="C8" s="14" t="inlineStr">
        <is>
          <t>QB</t>
        </is>
      </c>
      <c r="D8" s="15" t="inlineStr">
        <is>
          <t>34 passing TDs but 0.5 rushing. Elite in standard leagues, mid-pack here because passing TDs are only worth 3.</t>
        </is>
      </c>
    </row>
    <row r="9">
      <c r="A9" s="14" t="inlineStr">
        <is>
          <t>Jared Goff</t>
        </is>
      </c>
      <c r="B9" s="14" t="inlineStr">
        <is>
          <t>DET</t>
        </is>
      </c>
      <c r="C9" s="14" t="inlineStr">
        <is>
          <t>QB</t>
        </is>
      </c>
      <c r="D9" s="15" t="inlineStr">
        <is>
          <t>Same problem: 30 passing TDs, no rushing floor.</t>
        </is>
      </c>
    </row>
    <row r="10">
      <c r="A10" s="14" t="inlineStr">
        <is>
          <t>Kyren Williams / Blake Corum</t>
        </is>
      </c>
      <c r="B10" s="14" t="inlineStr">
        <is>
          <t>LAR</t>
        </is>
      </c>
      <c r="C10" s="14" t="inlineStr">
        <is>
          <t>RB</t>
        </is>
      </c>
      <c r="D10" s="15" t="inlineStr">
        <is>
          <t>Literally alternate drives, and reporting says Davante Adams is the Rams' actual goal-line target — note Adams projects for ~10 receiving TDs.</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30" customWidth="1" min="1" max="1"/>
    <col width="115" customWidth="1" min="2" max="2"/>
  </cols>
  <sheetData>
    <row r="1">
      <c r="A1" s="1" t="inlineStr">
        <is>
          <t>Where every number came from, and what is missing</t>
        </is>
      </c>
    </row>
    <row r="2" ht="24" customHeight="1">
      <c r="A2" s="2" t="inlineStr">
        <is>
          <t>Category</t>
        </is>
      </c>
      <c r="B2" s="2" t="inlineStr">
        <is>
          <t>Detail</t>
        </is>
      </c>
    </row>
    <row r="3">
      <c r="A3" s="14" t="inlineStr">
        <is>
          <t>Vegas — RB rushing TD O/U</t>
        </is>
      </c>
      <c r="B3" s="15" t="inlineStr">
        <is>
          <t>Nine real season-long lines: Henry 12.5, Taylor 11.5, Cook 10.5, Kyren Williams 9.5, Javonte Williams 9.5, Montgomery 7.5, Chase Brown 5.5, Achane 5.5, Mason 4.5. Books are LOWER than consensus on Chase Brown and Mason, HIGHER on Henry.</t>
        </is>
      </c>
    </row>
    <row r="4">
      <c r="A4" s="14" t="inlineStr">
        <is>
          <t>Vegas — RB receiving TD O/U</t>
        </is>
      </c>
      <c r="B4" s="15" t="inlineStr">
        <is>
          <t>Three lines only: Gibbs O4.5, McCaffrey O4.5, Bijan O3.5.</t>
        </is>
      </c>
    </row>
    <row r="5">
      <c r="A5" s="14" t="inlineStr">
        <is>
          <t>Vegas — QB passing TD O/U</t>
        </is>
      </c>
      <c r="B5" s="15" t="inlineStr">
        <is>
          <t>Four lines only: Allen O24.5, Prescott O27.5, Herbert O22.5, Stroud U22.5.</t>
        </is>
      </c>
    </row>
    <row r="6">
      <c r="A6" s="14" t="inlineStr">
        <is>
          <t>Vegas — QB rushing TD</t>
        </is>
      </c>
      <c r="B6" s="15" t="inlineStr">
        <is>
          <t>NONE EXIST at any book. Confirmed. Since rushing TDs carry most of the weight for mobile QBs, this is the single largest uncertainty on the board.</t>
        </is>
      </c>
    </row>
    <row r="7">
      <c r="A7" s="14" t="inlineStr">
        <is>
          <t>Vegas — WR/TE and kickers</t>
        </is>
      </c>
      <c r="B7" s="15" t="inlineStr">
        <is>
          <t>No usable season-long TD props found. Kicker futures are not posted by major books at all; only weekly in-season FG totals.</t>
        </is>
      </c>
    </row>
    <row r="8">
      <c r="A8" s="14" t="inlineStr">
        <is>
          <t>Kalshi prediction markets</t>
        </is>
      </c>
      <c r="B8" s="15" t="inlineStr">
        <is>
          <t>Season rushing-TD ladders were pulled but DELIBERATELY EXCLUDED — zero volume, 20-40 cent spreads, and non-monotonic pricing (Henry's 12+ traded above his 10+). Used only as a sanity check on ordering. Raw data in data/raw/rb_sources/.</t>
        </is>
      </c>
    </row>
    <row r="9">
      <c r="A9" s="14" t="inlineStr">
        <is>
          <t>QB projections</t>
        </is>
      </c>
      <c r="B9" s="15" t="inlineStr">
        <is>
          <t>ESPN/Mike Clay 2026 Projection Guide (updated 8/26/26, all 32 team pages parsed), Razzball, Yahoo, FFToday, Footballguys, CBS, FantasyPros.</t>
        </is>
      </c>
    </row>
    <row r="10">
      <c r="A10" s="14" t="inlineStr">
        <is>
          <t>RB projections</t>
        </is>
      </c>
      <c r="B10" s="15" t="inlineStr">
        <is>
          <t>FFToday full 2026 table (94 RBs, rush/rec TD split) + ESPN projections API (102 RBs) as independent second source, plus Ourlads depth charts for goal-line roles.</t>
        </is>
      </c>
    </row>
    <row r="11">
      <c r="A11" s="14" t="inlineStr">
        <is>
          <t>WR/TE projections</t>
        </is>
      </c>
      <c r="B11" s="15" t="inlineStr">
        <is>
          <t>FFToday 2026 tables + ESPN projections API, merged with name/team normalization. 81 of 117 players confirmed by both sources; the rest are single-source and flagged LOW confidence.</t>
        </is>
      </c>
    </row>
    <row r="12">
      <c r="A12" s="14" t="inlineStr">
        <is>
          <t>Kicker projections</t>
        </is>
      </c>
      <c r="B12" s="15" t="inlineStr">
        <is>
          <t>CBS Sports 2026 season projections (FGM/XPM split for all 32 starters), cross-checked against FantasyPros top 10 and Draft Sharks. Supplemented with 2025 team FG attempts from NFL.com as the red-zone-stalling proxy.</t>
        </is>
      </c>
    </row>
    <row r="13">
      <c r="A13" s="14" t="inlineStr">
        <is>
          <t>D/ST projections</t>
        </is>
      </c>
      <c r="B13" s="15" t="inlineStr">
        <is>
          <t>MODEL ESTIMATE, not sourced. Built from NFL.com three-year defensive TD history (2023-25) regressed 50% to the league mean of 1.6, plus a returner-quality adjustment and a flat blocked-kick term. Model totals 74 TDs vs. ~72 actual in 2025.</t>
        </is>
      </c>
    </row>
    <row r="14">
      <c r="A14" s="14" t="inlineStr">
        <is>
          <t>Known gaps</t>
        </is>
      </c>
      <c r="B14" s="15" t="inlineStr">
        <is>
          <t>No 2026 red zone TD% table obtained (all sources 403/404). No projection published for A.J. Dillon (CAR), a plausible goal-line sleeper. Nick Chubb could not be found on any 2026 roster — omitted rather than guessed at.</t>
        </is>
      </c>
    </row>
    <row r="15">
      <c r="A15" s="14" t="inlineStr">
        <is>
          <t>Reliability caveat</t>
        </is>
      </c>
      <c r="B15" s="15" t="inlineStr">
        <is>
          <t>Confidence flags mean 2+ sources agree within ~2 TDs. For deep backups that is a weak signal — two models agreeing a backup scores ~1 TD is not real information. Treat HIGH as meaningful only in the top ~45 at RB and top ~30 at WR.</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0" customWidth="1" min="1" max="1"/>
    <col width="12" customWidth="1" min="2" max="2"/>
    <col width="14" customWidth="1" min="4" max="4"/>
    <col width="14" customWidth="1" min="5" max="5"/>
    <col width="14" customWidth="1" min="6" max="6"/>
    <col width="14" customWidth="1" min="7" max="7"/>
    <col width="14" customWidth="1" min="8" max="8"/>
  </cols>
  <sheetData>
    <row r="1">
      <c r="A1" s="1" t="inlineStr">
        <is>
          <t>League Settings — edit the blue cells and every tab re-ranks</t>
        </is>
      </c>
    </row>
    <row r="3">
      <c r="A3" s="16" t="inlineStr">
        <is>
          <t>SCORING</t>
        </is>
      </c>
      <c r="F3" s="17" t="inlineStr">
        <is>
          <t>Pos</t>
        </is>
      </c>
      <c r="G3" s="17" t="inlineStr">
        <is>
          <t>Replacement</t>
        </is>
      </c>
      <c r="H3" s="17" t="inlineStr">
        <is>
          <t>Reliability</t>
        </is>
      </c>
    </row>
    <row r="4">
      <c r="A4" s="18" t="inlineStr">
        <is>
          <t>Passing TD</t>
        </is>
      </c>
      <c r="B4" s="19" t="n">
        <v>3</v>
      </c>
      <c r="F4" s="20" t="inlineStr">
        <is>
          <t>QB</t>
        </is>
      </c>
      <c r="G4" s="21" t="n">
        <v>95</v>
      </c>
      <c r="H4" s="22" t="n">
        <v>0.65</v>
      </c>
    </row>
    <row r="5">
      <c r="A5" s="18" t="inlineStr">
        <is>
          <t>Rushing TD</t>
        </is>
      </c>
      <c r="B5" s="19" t="n">
        <v>6</v>
      </c>
      <c r="F5" s="20" t="inlineStr">
        <is>
          <t>RB</t>
        </is>
      </c>
      <c r="G5" s="21" t="n">
        <v>45.6</v>
      </c>
      <c r="H5" s="22" t="n">
        <v>0.6</v>
      </c>
    </row>
    <row r="6">
      <c r="A6" s="18" t="inlineStr">
        <is>
          <t>Receiving TD</t>
        </is>
      </c>
      <c r="B6" s="19" t="n">
        <v>6</v>
      </c>
      <c r="F6" s="20" t="inlineStr">
        <is>
          <t>WR</t>
        </is>
      </c>
      <c r="G6" s="21" t="n">
        <v>36</v>
      </c>
      <c r="H6" s="22" t="n">
        <v>0.55</v>
      </c>
    </row>
    <row r="7">
      <c r="A7" s="18" t="inlineStr">
        <is>
          <t>Field Goal (any distance)</t>
        </is>
      </c>
      <c r="B7" s="19" t="n">
        <v>3</v>
      </c>
      <c r="F7" s="20" t="inlineStr">
        <is>
          <t>TE</t>
        </is>
      </c>
      <c r="G7" s="21" t="n">
        <v>25.1</v>
      </c>
      <c r="H7" s="22" t="n">
        <v>0.55</v>
      </c>
    </row>
    <row r="8">
      <c r="A8" s="18" t="inlineStr">
        <is>
          <t>Extra Point</t>
        </is>
      </c>
      <c r="B8" s="19" t="n">
        <v>1</v>
      </c>
      <c r="F8" s="20" t="inlineStr">
        <is>
          <t>K</t>
        </is>
      </c>
      <c r="G8" s="21" t="n">
        <v>131.67</v>
      </c>
      <c r="H8" s="22" t="n">
        <v>0.35</v>
      </c>
    </row>
    <row r="9">
      <c r="A9" s="18" t="inlineStr">
        <is>
          <t>Def/ST TD</t>
        </is>
      </c>
      <c r="B9" s="19" t="n">
        <v>6</v>
      </c>
      <c r="F9" s="20" t="inlineStr">
        <is>
          <t>DST</t>
        </is>
      </c>
      <c r="G9" s="21" t="n">
        <v>15.18</v>
      </c>
      <c r="H9" s="22" t="n">
        <v>0.2</v>
      </c>
    </row>
    <row r="10">
      <c r="A10" s="18" t="inlineStr">
        <is>
          <t>Safety</t>
        </is>
      </c>
      <c r="B10" s="19" t="n">
        <v>2</v>
      </c>
    </row>
    <row r="11">
      <c r="F11" s="23" t="inlineStr"/>
    </row>
    <row r="12">
      <c r="A12" s="18" t="inlineStr">
        <is>
          <t>Teams in league</t>
        </is>
      </c>
      <c r="B12" s="19" t="n">
        <v>12</v>
      </c>
      <c r="F12" s="23" t="inlineStr">
        <is>
          <t>Replacement level = mean points of the players just past the last startable slot</t>
        </is>
      </c>
    </row>
    <row r="13">
      <c r="F13" s="23" t="inlineStr">
        <is>
          <t>at each position (12 teams x starters). Computed by rank.py; recomputed if you</t>
        </is>
      </c>
    </row>
    <row r="14">
      <c r="F14" s="23" t="inlineStr">
        <is>
          <t>change the player pool. Starters: 1QB, 2RB, 2WR, 1TE, 1K, 1D/ST.</t>
        </is>
      </c>
    </row>
    <row r="15">
      <c r="F15" s="23" t="inlineStr"/>
    </row>
    <row r="16">
      <c r="F16" s="23" t="inlineStr">
        <is>
          <t>Reliability = how much of a projected edge actually shows up in reality. These are</t>
        </is>
      </c>
    </row>
    <row r="17">
      <c r="F17" s="23" t="inlineStr">
        <is>
          <t>JUDGMENT ESTIMATES, not fitted from data. Kicker FG totals and defensive/return TDs</t>
        </is>
      </c>
    </row>
    <row r="18">
      <c r="F18" s="23" t="inlineStr">
        <is>
          <t>have very little year-over-year predictive power, so most of their apparent spread</t>
        </is>
      </c>
    </row>
    <row r="19">
      <c r="F19" s="23" t="inlineStr">
        <is>
          <t>is noise; raw VOR badly overrates both. Set every value to 1.00 to see raw VOR.</t>
        </is>
      </c>
    </row>
    <row r="20">
      <c r="F20" s="23" t="inlineStr"/>
    </row>
    <row r="21">
      <c r="F21" s="23" t="inlineStr">
        <is>
          <t>Blue cells are inputs. Black cells are formulas. Edit projections directly on any</t>
        </is>
      </c>
    </row>
    <row r="22">
      <c r="F22" s="23" t="inlineStr">
        <is>
          <t>tab and Points/VOR/Adj VOR recalculate.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2026-08-27T14:44:21Z</dcterms:created>
  <dcterms:modified xmlns:dcterms="http://purl.org/dc/terms/" xmlns:xsi="http://www.w3.org/2001/XMLSchema-instance" xsi:type="dcterms:W3CDTF">2026-08-27T14:44:21Z</dcterms:modified>
</cp:coreProperties>
</file>